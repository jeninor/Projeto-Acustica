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b4ea3affc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_3_angulos" sheetId="1" r:id="R26ccd94766cf4250"/>
    <x:sheet xmlns:r="http://schemas.openxmlformats.org/officeDocument/2006/relationships" name="ISimpa_75" sheetId="2" r:id="Rb7f4f20887004a58"/>
    <x:sheet xmlns:r="http://schemas.openxmlformats.org/officeDocument/2006/relationships" name="ODEON_75" sheetId="3" r:id="Rf4c54b14d05a4725"/>
    <x:sheet xmlns:r="http://schemas.openxmlformats.org/officeDocument/2006/relationships" name="Pyroom_75" sheetId="4" r:id="R95dd10bd8e5e49f0"/>
    <x:sheet xmlns:r="http://schemas.openxmlformats.org/officeDocument/2006/relationships" name="Errores_pareados" sheetId="5" r:id="R467e443588834177"/>
    <x:sheet xmlns:r="http://schemas.openxmlformats.org/officeDocument/2006/relationships" name="Ranking_C80" sheetId="6" r:id="R61eeb55738084a7b"/>
    <x:sheet xmlns:r="http://schemas.openxmlformats.org/officeDocument/2006/relationships" name="Metodologia" sheetId="7" r:id="Rdb9afb34b114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475569"/>
      <x:name val="Carlito"/>
    </x:font>
    <x:font>
      <x:i/>
      <x:sz val="11"/>
      <x:color rgb="FFA4431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B43"/>
      </x:patternFill>
    </x:fill>
    <x:fill>
      <x:patternFill patternType="solid">
        <x:fgColor rgb="FFEAF3F6"/>
      </x:patternFill>
    </x:fill>
    <x:fill>
      <x:patternFill patternType="solid">
        <x:fgColor rgb="FF1A7285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863c3c2294777" /><Relationship Type="http://schemas.openxmlformats.org/officeDocument/2006/relationships/theme" Target="/xl/theme/theme1.xml" Id="Rd31511a19964494a" /><Relationship Type="http://schemas.openxmlformats.org/officeDocument/2006/relationships/sharedStrings" Target="/xl/sharedStrings.xml" Id="Re10164e26a9246d5" /><Relationship Type="http://schemas.openxmlformats.org/officeDocument/2006/relationships/worksheet" Target="/xl/worksheets/sheet1.xml" Id="R26ccd94766cf4250" /><Relationship Type="http://schemas.openxmlformats.org/officeDocument/2006/relationships/worksheet" Target="/xl/worksheets/sheet2.xml" Id="Rb7f4f20887004a58" /><Relationship Type="http://schemas.openxmlformats.org/officeDocument/2006/relationships/worksheet" Target="/xl/worksheets/sheet3.xml" Id="Rf4c54b14d05a4725" /><Relationship Type="http://schemas.openxmlformats.org/officeDocument/2006/relationships/worksheet" Target="/xl/worksheets/sheet4.xml" Id="R95dd10bd8e5e49f0" /><Relationship Type="http://schemas.openxmlformats.org/officeDocument/2006/relationships/worksheet" Target="/xl/worksheets/sheet5.xml" Id="R467e443588834177" /><Relationship Type="http://schemas.openxmlformats.org/officeDocument/2006/relationships/worksheet" Target="/xl/worksheets/sheet6.xml" Id="R61eeb55738084a7b" /><Relationship Type="http://schemas.openxmlformats.org/officeDocument/2006/relationships/worksheet" Target="/xl/worksheets/sheet7.xml" Id="Rdb9afb34b11447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4" hidden="0" customWidth="1"/>
    <x:col min="3" max="3" width="25" hidden="0" customWidth="1"/>
    <x:col min="4" max="4" width="27" hidden="0" customWidth="1"/>
    <x:col min="5" max="5" width="26" hidden="0" customWidth="1"/>
    <x:col min="6" max="6" width="19" hidden="0" customWidth="1"/>
    <x:col min="7" max="7" width="20" hidden="0" customWidth="1"/>
    <x:col min="8" max="8" width="20" hidden="0" customWidth="1"/>
  </x:cols>
  <x:sheetData>
    <x:row r="1" ht="40" customHeight="1">
      <x:c r="A1" s="12" t="str">
        <x:v>BENCHMARK BOSCH CF2 · ODEON × I-SIMPA × PYROOMACOUSTICS</x:v>
      </x:c>
      <x:c r="B1" s="12"/>
      <x:c r="C1" s="12"/>
      <x:c r="D1" s="12"/>
      <x:c r="E1" s="12"/>
      <x:c r="F1" s="12"/>
      <x:c r="G1" s="12"/>
      <x:c r="H1" s="12"/>
    </x:row>
    <x:row r="2" ht="26" customHeight="1">
      <x:c r="A2" s="14" t="str">
        <x:v>Auditorio inclinado · 25 receptores · octava central 1000 Hz · orientaciones 0°, −8°, −16°</x:v>
      </x:c>
      <x:c r="B2" s="14"/>
      <x:c r="C2" s="14"/>
      <x:c r="D2" s="14"/>
      <x:c r="E2" s="14"/>
      <x:c r="F2" s="14"/>
      <x:c r="G2" s="14"/>
      <x:c r="H2" s="14"/>
    </x:row>
    <x:row r="4" ht="30" customHeight="1">
      <x:c r="A4" s="17" t="str">
        <x:v>Indicador</x:v>
      </x:c>
      <x:c r="B4" s="17" t="str">
        <x:v>Unidad</x:v>
      </x:c>
      <x:c r="C4" s="17" t="str">
        <x:v>ODEON 0°</x:v>
      </x:c>
      <x:c r="D4" s="17" t="str">
        <x:v>ODEON −8°</x:v>
      </x:c>
      <x:c r="E4" s="17" t="str">
        <x:v>ODEON −16°</x:v>
      </x:c>
      <x:c r="F4" s="17" t="str">
        <x:v>I-Simpa 0°</x:v>
      </x:c>
      <x:c r="G4" s="17" t="str">
        <x:v>I-Simpa −8°</x:v>
      </x:c>
      <x:c r="H4" s="17" t="str">
        <x:v>I-Simpa −16°</x:v>
      </x:c>
    </x:row>
    <x:row r="5" ht="23" customHeight="1">
      <x:c r="A5" t="str">
        <x:v>EDT</x:v>
      </x:c>
      <x:c r="B5" t="str">
        <x:v>s</x:v>
      </x:c>
      <x:c r="C5" s="8" t="n">
        <x:f>AVERAGE(ODEON_75!C2:C26)</x:f>
        <x:v>3.4392</x:v>
      </x:c>
      <x:c r="D5" s="8" t="n">
        <x:f>AVERAGE(ODEON_75!C27:C51)</x:f>
        <x:v>3.3992</x:v>
      </x:c>
      <x:c r="E5" s="8" t="n">
        <x:f>AVERAGE(ODEON_75!C52:C76)</x:f>
        <x:v>3.394000000000001</x:v>
      </x:c>
      <x:c r="F5" s="8" t="n">
        <x:f>AVERAGE(ISimpa_75!C2:C26)</x:f>
        <x:v>3.86299015045166</x:v>
      </x:c>
      <x:c r="G5" s="8" t="n">
        <x:f>AVERAGE(ISimpa_75!C27:C51)</x:f>
        <x:v>3.7144811820983885</x:v>
      </x:c>
      <x:c r="H5" s="8" t="n">
        <x:f>AVERAGE(ISimpa_75!C52:C76)</x:f>
        <x:v>3.644173183441162</x:v>
      </x:c>
    </x:row>
    <x:row r="6" ht="23" customHeight="1">
      <x:c r="A6" t="str">
        <x:v>T30</x:v>
      </x:c>
      <x:c r="B6" t="str">
        <x:v>s</x:v>
      </x:c>
      <x:c r="C6" s="8" t="n">
        <x:f>AVERAGE(ODEON_75!E2:E26)</x:f>
        <x:v>3.312399999999999</x:v>
      </x:c>
      <x:c r="D6" s="8" t="n">
        <x:f>AVERAGE(ODEON_75!E27:E51)</x:f>
        <x:v>3.3236000000000003</x:v>
      </x:c>
      <x:c r="E6" s="8" t="n">
        <x:f>AVERAGE(ODEON_75!E52:E76)</x:f>
        <x:v>3.3292</x:v>
      </x:c>
      <x:c r="F6" s="8" t="n">
        <x:f>AVERAGE(ISimpa_75!D2:D26)</x:f>
        <x:v>3.8562997722625734</x:v>
      </x:c>
      <x:c r="G6" s="8" t="n">
        <x:f>AVERAGE(ISimpa_75!D27:D51)</x:f>
        <x:v>3.809619264602661</x:v>
      </x:c>
      <x:c r="H6" s="8" t="n">
        <x:f>AVERAGE(ISimpa_75!D52:D76)</x:f>
        <x:v>3.7596498489379884</x:v>
      </x:c>
    </x:row>
    <x:row r="7" ht="23" customHeight="1">
      <x:c r="A7" t="str">
        <x:v>C80</x:v>
      </x:c>
      <x:c r="B7" t="str">
        <x:v>dB</x:v>
      </x:c>
      <x:c r="C7" s="8" t="n">
        <x:f>AVERAGE(ODEON_75!F2:F26)</x:f>
        <x:v>-1.024</x:v>
      </x:c>
      <x:c r="D7" s="8" t="n">
        <x:f>AVERAGE(ODEON_75!F27:F51)</x:f>
        <x:v>0.144</x:v>
      </x:c>
      <x:c r="E7" s="8" t="n">
        <x:f>AVERAGE(ODEON_75!F52:F76)</x:f>
        <x:v>0.592</x:v>
      </x:c>
      <x:c r="F7" s="8" t="n">
        <x:f>AVERAGE(ISimpa_75!E2:E26)</x:f>
        <x:v>-2.5244063401222228</x:v>
      </x:c>
      <x:c r="G7" s="8" t="n">
        <x:f>AVERAGE(ISimpa_75!E27:E51)</x:f>
        <x:v>-1.332940998673439</x:v>
      </x:c>
      <x:c r="H7" s="8" t="n">
        <x:f>AVERAGE(ISimpa_75!E52:E76)</x:f>
        <x:v>-0.7663888961076737</x:v>
      </x:c>
    </x:row>
    <x:row r="8" ht="23" customHeight="1">
      <x:c r="A8" t="str">
        <x:v>Ts</x:v>
      </x:c>
      <x:c r="B8" t="str">
        <x:v>ms</x:v>
      </x:c>
      <x:c r="C8" s="8" t="n">
        <x:f>AVERAGE(ODEON_75!G2:G26)</x:f>
        <x:v>200.72</x:v>
      </x:c>
      <x:c r="D8" s="8" t="n">
        <x:f>AVERAGE(ODEON_75!G27:G51)</x:f>
        <x:v>176.88</x:v>
      </x:c>
      <x:c r="E8" s="8" t="n">
        <x:f>AVERAGE(ODEON_75!G52:G76)</x:f>
        <x:v>167.2</x:v>
      </x:c>
      <x:c r="F8" s="8" t="n">
        <x:f>AVERAGE(ISimpa_75!H2:H26)</x:f>
        <x:v>279.9843817138672</x:v>
      </x:c>
      <x:c r="G8" s="8" t="n">
        <x:f>AVERAGE(ISimpa_75!H27:H51)</x:f>
        <x:v>252.44285949707032</x:v>
      </x:c>
      <x:c r="H8" s="8" t="n">
        <x:f>AVERAGE(ISimpa_75!H52:H76)</x:f>
        <x:v>240.42498596191408</x:v>
      </x:c>
    </x:row>
    <x:row r="9" ht="23" customHeight="1">
      <x:c r="A9" t="str">
        <x:v>STI</x:v>
      </x:c>
      <x:c r="B9" t="str">
        <x:v>0–1</x:v>
      </x:c>
      <x:c r="C9" s="8" t="n">
        <x:f>AVERAGE(ODEON_75!H2:H26)</x:f>
        <x:v>0.45160000000000006</x:v>
      </x:c>
      <x:c r="D9" s="8" t="n">
        <x:f>AVERAGE(ODEON_75!H27:H51)</x:f>
        <x:v>0.47040000000000004</x:v>
      </x:c>
      <x:c r="E9" s="8" t="n">
        <x:f>AVERAGE(ODEON_75!H52:H76)</x:f>
        <x:v>0.4692000000000002</x:v>
      </x:c>
      <x:c r="F9" s="8"/>
      <x:c r="G9" s="8"/>
      <x:c r="H9" s="8"/>
    </x:row>
    <x:row r="10" ht="23" customHeight="1">
      <x:c r="A10" t="str">
        <x:v>SPL</x:v>
      </x:c>
      <x:c r="B10" t="str">
        <x:v>dB</x:v>
      </x:c>
      <x:c r="C10" s="8"/>
      <x:c r="D10" s="8"/>
      <x:c r="E10" s="8"/>
      <x:c r="F10" s="8" t="n">
        <x:f>AVERAGE(ISimpa_75!I2:I26)</x:f>
        <x:v>70.41279388427735</x:v>
      </x:c>
      <x:c r="G10" s="8" t="n">
        <x:f>AVERAGE(ISimpa_75!I27:I51)</x:f>
        <x:v>70.82843383789063</x:v>
      </x:c>
      <x:c r="H10" s="8" t="n">
        <x:f>AVERAGE(ISimpa_75!I52:I76)</x:f>
        <x:v>70.78715026855468</x:v>
      </x:c>
    </x:row>
    <x:row r="11" ht="23" customHeight="1">
      <x:c r="A11" t="str">
        <x:v>C50</x:v>
      </x:c>
      <x:c r="B11" t="str">
        <x:v>dB</x:v>
      </x:c>
      <x:c r="C11" s="8"/>
      <x:c r="D11" s="8"/>
      <x:c r="E11" s="8"/>
      <x:c r="F11" s="8" t="n">
        <x:f>AVERAGE(ISimpa_75!F2:F26)</x:f>
        <x:v>-3.7105151796340943</x:v>
      </x:c>
      <x:c r="G11" s="8" t="n">
        <x:f>AVERAGE(ISimpa_75!F27:F51)</x:f>
        <x:v>-2.4461185908317566</x:v>
      </x:c>
      <x:c r="H11" s="8" t="n">
        <x:f>AVERAGE(ISimpa_75!F52:F76)</x:f>
        <x:v>-1.9813799357414246</x:v>
      </x:c>
    </x:row>
    <x:row r="12" ht="23" customHeight="1">
      <x:c r="A12" t="str">
        <x:v>D50</x:v>
      </x:c>
      <x:c r="B12" t="str">
        <x:v>%</x:v>
      </x:c>
      <x:c r="C12" s="8"/>
      <x:c r="D12" s="8"/>
      <x:c r="E12" s="8"/>
      <x:c r="F12" s="8" t="n">
        <x:f>AVERAGE(ISimpa_75!G2:G26)</x:f>
        <x:v>31.419645919799805</x:v>
      </x:c>
      <x:c r="G12" s="8" t="n">
        <x:f>AVERAGE(ISimpa_75!G27:G51)</x:f>
        <x:v>37.59295249938965</x:v>
      </x:c>
      <x:c r="H12" s="8" t="n">
        <x:f>AVERAGE(ISimpa_75!G52:G76)</x:f>
        <x:v>39.91610809326172</x:v>
      </x:c>
    </x:row>
    <x:row r="13" ht="23" customHeight="1">
      <x:c r="A13" t="str">
        <x:v>G</x:v>
      </x:c>
      <x:c r="B13" t="str">
        <x:v>dB</x:v>
      </x:c>
      <x:c r="C13" s="8"/>
      <x:c r="D13" s="8"/>
      <x:c r="E13" s="8"/>
      <x:c r="F13" s="8" t="n">
        <x:f>AVERAGE(ISimpa_75!K2:K26)</x:f>
        <x:v>5.321431388854981</x:v>
      </x:c>
      <x:c r="G13" s="8" t="n">
        <x:f>AVERAGE(ISimpa_75!K27:K51)</x:f>
        <x:v>5.7370711708068844</x:v>
      </x:c>
      <x:c r="H13" s="8" t="n">
        <x:f>AVERAGE(ISimpa_75!K52:K76)</x:f>
        <x:v>5.695786800384521</x:v>
      </x:c>
    </x:row>
    <x:row r="15" ht="29" customHeight="1">
      <x:c r="A15" s="17" t="str">
        <x:v>Indicador</x:v>
      </x:c>
      <x:c r="B15" s="17" t="str">
        <x:v>Unidad</x:v>
      </x:c>
      <x:c r="C15" s="17" t="str">
        <x:v>Pyroom 0°</x:v>
      </x:c>
      <x:c r="D15" s="17" t="str">
        <x:v>Pyroom −8°</x:v>
      </x:c>
      <x:c r="E15" s="17" t="str">
        <x:v>Pyroom −16°</x:v>
      </x:c>
    </x:row>
    <x:row r="16">
      <x:c r="A16" t="str">
        <x:v>EDT</x:v>
      </x:c>
      <x:c r="B16" t="str">
        <x:v>s</x:v>
      </x:c>
      <x:c r="C16" s="8" t="n">
        <x:f>AVERAGE(Pyroom_75!C2:C26)</x:f>
        <x:v>3.9353472878461844</x:v>
      </x:c>
      <x:c r="D16" s="8" t="n">
        <x:f>AVERAGE(Pyroom_75!C27:C51)</x:f>
        <x:v>3.85912999446762</x:v>
      </x:c>
      <x:c r="E16" s="8" t="n">
        <x:f>AVERAGE(Pyroom_75!C52:C76)</x:f>
        <x:v>3.8249016499903474</x:v>
      </x:c>
    </x:row>
    <x:row r="17">
      <x:c r="A17" t="str">
        <x:v>T30</x:v>
      </x:c>
      <x:c r="B17" t="str">
        <x:v>s</x:v>
      </x:c>
      <x:c r="C17" s="8" t="n">
        <x:f>AVERAGE(Pyroom_75!D2:D26)</x:f>
        <x:v>3.960016100416494</x:v>
      </x:c>
      <x:c r="D17" s="8" t="n">
        <x:f>AVERAGE(Pyroom_75!D27:D51)</x:f>
        <x:v>3.9215723976570622</x:v>
      </x:c>
      <x:c r="E17" s="8" t="n">
        <x:f>AVERAGE(Pyroom_75!D52:D76)</x:f>
        <x:v>3.862847040465102</x:v>
      </x:c>
    </x:row>
    <x:row r="18">
      <x:c r="A18" t="str">
        <x:v>C80</x:v>
      </x:c>
      <x:c r="B18" t="str">
        <x:v>dB</x:v>
      </x:c>
      <x:c r="C18" s="8" t="n">
        <x:f>AVERAGE(Pyroom_75!E2:E26)</x:f>
        <x:v>-3.6961318075659424</x:v>
      </x:c>
      <x:c r="D18" s="8" t="n">
        <x:f>AVERAGE(Pyroom_75!E27:E51)</x:f>
        <x:v>-2.6262052355086096</x:v>
      </x:c>
      <x:c r="E18" s="8" t="n">
        <x:f>AVERAGE(Pyroom_75!E52:E76)</x:f>
        <x:v>-1.9988245005990413</x:v>
      </x:c>
    </x:row>
    <x:row r="19">
      <x:c r="A19" t="str">
        <x:v>Energia relativa</x:v>
      </x:c>
      <x:c r="B19" t="str">
        <x:v>dB</x:v>
      </x:c>
      <x:c r="C19" s="8" t="n">
        <x:f>AVERAGE(Pyroom_75!F2:F26)</x:f>
        <x:v>-9.578538167233027</x:v>
      </x:c>
      <x:c r="D19" s="8" t="n">
        <x:f>AVERAGE(Pyroom_75!F27:F51)</x:f>
        <x:v>-9.323772905093845</x:v>
      </x:c>
      <x:c r="E19" s="8" t="n">
        <x:f>AVERAGE(Pyroom_75!F52:F76)</x:f>
        <x:v>-9.419035850165507</x:v>
      </x:c>
    </x:row>
    <x:row r="21" ht="34" customHeight="1">
      <x:c r="A21" s="17" t="str">
        <x:v>Métrica</x:v>
      </x:c>
      <x:c r="B21" s="17" t="str">
        <x:v>Ângulo</x:v>
      </x:c>
      <x:c r="C21" s="17" t="str">
        <x:v>Viés I-S − ODEON</x:v>
      </x:c>
      <x:c r="D21" s="17" t="str">
        <x:v>RMSE I-S − ODEON</x:v>
      </x:c>
      <x:c r="E21" s="17" t="str">
        <x:v>Correlação espacial C80</x:v>
      </x:c>
    </x:row>
    <x:row r="22">
      <x:c r="A22" t="str">
        <x:v>EDT</x:v>
      </x:c>
      <x:c r="B22" t="n">
        <x:v>0</x:v>
      </x:c>
      <x:c r="C22" s="8" t="n">
        <x:f>AVERAGE(Errores_pareados!E2:E26)</x:f>
        <x:v>0.4237901504516602</x:v>
      </x:c>
      <x:c r="D22" s="8" t="n">
        <x:f>SQRT(SUMSQ(Errores_pareados!E2:E26)/25)</x:f>
        <x:v>0.45090689752744406</x:v>
      </x:c>
      <x:c r="E22" s="8"/>
    </x:row>
    <x:row r="23">
      <x:c r="A23" t="str">
        <x:v>T30</x:v>
      </x:c>
      <x:c r="B23" t="n">
        <x:v>0</x:v>
      </x:c>
      <x:c r="C23" s="8" t="n">
        <x:f>AVERAGE(Errores_pareados!H2:H26)</x:f>
        <x:v>0.5438997722625732</x:v>
      </x:c>
      <x:c r="D23" s="8" t="n">
        <x:f>SQRT(SUMSQ(Errores_pareados!H2:H26)/25)</x:f>
        <x:v>0.5543368927038351</x:v>
      </x:c>
      <x:c r="E23" s="8"/>
    </x:row>
    <x:row r="24">
      <x:c r="A24" t="str">
        <x:v>C80</x:v>
      </x:c>
      <x:c r="B24" t="n">
        <x:v>0</x:v>
      </x:c>
      <x:c r="C24" s="8" t="n">
        <x:f>AVERAGE(Errores_pareados!K2:K26)</x:f>
        <x:v>-1.5004063401222227</x:v>
      </x:c>
      <x:c r="D24" s="8" t="n">
        <x:f>SQRT(SUMSQ(Errores_pareados!K2:K26)/25)</x:f>
        <x:v>1.5485927421772854</x:v>
      </x:c>
      <x:c r="E24" s="8" t="n">
        <x:f>CORREL(Errores_pareados!I2:I26,Errores_pareados!J2:J26)</x:f>
        <x:v>0.984250049836843</x:v>
      </x:c>
    </x:row>
    <x:row r="25">
      <x:c r="A25" t="str">
        <x:v>Ts</x:v>
      </x:c>
      <x:c r="B25" t="n">
        <x:v>0</x:v>
      </x:c>
      <x:c r="C25" s="8" t="n">
        <x:f>AVERAGE(Errores_pareados!P2:P26)</x:f>
        <x:v>79.26438171386718</x:v>
      </x:c>
      <x:c r="D25" s="8" t="n">
        <x:f>SQRT(SUMSQ(Errores_pareados!P2:P26)/25)</x:f>
        <x:v>80.9576602509076</x:v>
      </x:c>
      <x:c r="E25" s="8"/>
    </x:row>
    <x:row r="26">
      <x:c r="A26" t="str">
        <x:v>EDT</x:v>
      </x:c>
      <x:c r="B26" t="n">
        <x:v>-8</x:v>
      </x:c>
      <x:c r="C26" s="8" t="n">
        <x:f>AVERAGE(Errores_pareados!E27:E51)</x:f>
        <x:v>0.3152811820983887</x:v>
      </x:c>
      <x:c r="D26" s="8" t="n">
        <x:f>SQRT(SUMSQ(Errores_pareados!E27:E51)/25)</x:f>
        <x:v>0.3557435389850386</x:v>
      </x:c>
      <x:c r="E26" s="8"/>
    </x:row>
    <x:row r="27">
      <x:c r="A27" t="str">
        <x:v>T30</x:v>
      </x:c>
      <x:c r="B27" t="n">
        <x:v>-8</x:v>
      </x:c>
      <x:c r="C27" s="8" t="n">
        <x:f>AVERAGE(Errores_pareados!H27:H51)</x:f>
        <x:v>0.48601926460266115</x:v>
      </x:c>
      <x:c r="D27" s="8" t="n">
        <x:f>SQRT(SUMSQ(Errores_pareados!H27:H51)/25)</x:f>
        <x:v>0.4912687636568047</x:v>
      </x:c>
      <x:c r="E27" s="8"/>
    </x:row>
    <x:row r="28">
      <x:c r="A28" t="str">
        <x:v>C80</x:v>
      </x:c>
      <x:c r="B28" t="n">
        <x:v>-8</x:v>
      </x:c>
      <x:c r="C28" s="8" t="n">
        <x:f>AVERAGE(Errores_pareados!K27:K51)</x:f>
        <x:v>-1.476940998673439</x:v>
      </x:c>
      <x:c r="D28" s="8" t="n">
        <x:f>SQRT(SUMSQ(Errores_pareados!K27:K51)/25)</x:f>
        <x:v>1.5388044821506652</x:v>
      </x:c>
      <x:c r="E28" s="8" t="n">
        <x:f>CORREL(Errores_pareados!I27:I51,Errores_pareados!J27:J51)</x:f>
        <x:v>0.9684578665460237</x:v>
      </x:c>
    </x:row>
    <x:row r="29">
      <x:c r="A29" t="str">
        <x:v>Ts</x:v>
      </x:c>
      <x:c r="B29" t="n">
        <x:v>-8</x:v>
      </x:c>
      <x:c r="C29" s="8" t="n">
        <x:f>AVERAGE(Errores_pareados!P27:P51)</x:f>
        <x:v>75.5628594970703</x:v>
      </x:c>
      <x:c r="D29" s="8" t="n">
        <x:f>SQRT(SUMSQ(Errores_pareados!P27:P51)/25)</x:f>
        <x:v>77.1991910048788</x:v>
      </x:c>
      <x:c r="E29" s="8"/>
    </x:row>
    <x:row r="30">
      <x:c r="A30" t="str">
        <x:v>EDT</x:v>
      </x:c>
      <x:c r="B30" t="n">
        <x:v>-16</x:v>
      </x:c>
      <x:c r="C30" s="8" t="n">
        <x:f>AVERAGE(Errores_pareados!E52:E76)</x:f>
        <x:v>0.2501731834411621</x:v>
      </x:c>
      <x:c r="D30" s="8" t="n">
        <x:f>SQRT(SUMSQ(Errores_pareados!E52:E76)/25)</x:f>
        <x:v>0.29123246403596614</x:v>
      </x:c>
      <x:c r="E30" s="8"/>
    </x:row>
    <x:row r="31">
      <x:c r="A31" t="str">
        <x:v>T30</x:v>
      </x:c>
      <x:c r="B31" t="n">
        <x:v>-16</x:v>
      </x:c>
      <x:c r="C31" s="8" t="n">
        <x:f>AVERAGE(Errores_pareados!H52:H76)</x:f>
        <x:v>0.43044984893798827</x:v>
      </x:c>
      <x:c r="D31" s="8" t="n">
        <x:f>SQRT(SUMSQ(Errores_pareados!H52:H76)/25)</x:f>
        <x:v>0.43495098165773316</x:v>
      </x:c>
      <x:c r="E31" s="8"/>
    </x:row>
    <x:row r="32">
      <x:c r="A32" t="str">
        <x:v>C80</x:v>
      </x:c>
      <x:c r="B32" t="n">
        <x:v>-16</x:v>
      </x:c>
      <x:c r="C32" s="8" t="n">
        <x:f>AVERAGE(Errores_pareados!K52:K76)</x:f>
        <x:v>-1.3583888961076738</x:v>
      </x:c>
      <x:c r="D32" s="8" t="n">
        <x:f>SQRT(SUMSQ(Errores_pareados!K52:K76)/25)</x:f>
        <x:v>1.3992789569402895</x:v>
      </x:c>
      <x:c r="E32" s="8" t="n">
        <x:f>CORREL(Errores_pareados!I52:I76,Errores_pareados!J52:J76)</x:f>
        <x:v>0.896502152018568</x:v>
      </x:c>
    </x:row>
    <x:row r="33">
      <x:c r="A33" t="str">
        <x:v>Ts</x:v>
      </x:c>
      <x:c r="B33" t="n">
        <x:v>-16</x:v>
      </x:c>
      <x:c r="C33" s="8" t="n">
        <x:f>AVERAGE(Errores_pareados!P52:P76)</x:f>
        <x:v>73.22498596191406</x:v>
      </x:c>
      <x:c r="D33" s="8" t="n">
        <x:f>SQRT(SUMSQ(Errores_pareados!P52:P76)/25)</x:f>
        <x:v>74.4748422775255</x:v>
      </x:c>
      <x:c r="E33" s="8"/>
    </x:row>
    <x:row r="35" ht="32" customHeight="1">
      <x:c r="A35" s="17" t="str">
        <x:v>Ranking C80 (melhor de 3 ângulos)</x:v>
      </x:c>
      <x:c r="B35" s="17" t="str"/>
      <x:c r="C35" s="17" t="str">
        <x:v>Acordo ODEON/I-Simpa</x:v>
      </x:c>
      <x:c r="D35" s="17" t="str">
        <x:v>Acordo I-Simpa/Pyroom</x:v>
      </x:c>
      <x:c r="E35" s="17" t="str">
        <x:v>Acordo dos 3</x:v>
      </x:c>
    </x:row>
    <x:row r="36">
      <x:c r="A36" t="str">
        <x:v>Quantidade / 25 receptores</x:v>
      </x:c>
      <x:c r="C36" t="n">
        <x:f>SUM(Ranking_C80!N2:N26)</x:f>
        <x:v>22</x:v>
      </x:c>
      <x:c r="D36" t="n">
        <x:f>SUM(Ranking_C80!O2:O26)</x:f>
        <x:v>20</x:v>
      </x:c>
      <x:c r="E36" t="n">
        <x:f>SUM(Ranking_C80!P2:P26)</x:f>
        <x:v>19</x:v>
      </x:c>
    </x:row>
    <x:row r="38" ht="25" customHeight="1">
      <x:c r="A38" s="20" t="str">
        <x:v>ATENÇÃO: os valores SPL de Pyroom não foram calibrados para comparação absoluta de dB com I-Simpa.</x:v>
      </x:c>
      <x:c r="B38" s="20"/>
      <x:c r="C38" s="20"/>
      <x:c r="D38" s="20"/>
      <x:c r="E38" s="20"/>
      <x:c r="F38" s="20"/>
      <x:c r="G38" s="20"/>
      <x:c r="H38" s="20"/>
    </x:row>
  </x:sheetData>
  <x:mergeCells>
    <x:mergeCell ref="A1:H1"/>
    <x:mergeCell ref="A2:H2"/>
    <x:mergeCell ref="A38:H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4" t="str">
        <x:v>Angulo_deg</x:v>
      </x:c>
      <x:c r="B1" s="4" t="str">
        <x:v>Receptor</x:v>
      </x:c>
      <x:c r="C1" s="4" t="str">
        <x:v>EDT_s</x:v>
      </x:c>
      <x:c r="D1" s="4" t="str">
        <x:v>T30_s</x:v>
      </x:c>
      <x:c r="E1" s="4" t="str">
        <x:v>C80_dB</x:v>
      </x:c>
      <x:c r="F1" s="4" t="str">
        <x:v>C50_dB</x:v>
      </x:c>
      <x:c r="G1" s="4" t="str">
        <x:v>D50_pct</x:v>
      </x:c>
      <x:c r="H1" s="4" t="str">
        <x:v>Ts_ms</x:v>
      </x:c>
      <x:c r="I1" s="4" t="str">
        <x:v>SPL_dB</x:v>
      </x:c>
      <x:c r="J1" s="4" t="str">
        <x:v>SPLA_dBA</x:v>
      </x:c>
      <x:c r="K1" s="4" t="str">
        <x:v>G_dB</x:v>
      </x:c>
      <x:c r="L1" s="4" t="str">
        <x:v>RT15_s</x:v>
      </x:c>
      <x:c r="M1" s="4" t="str">
        <x:v>SPL_800</x:v>
      </x:c>
      <x:c r="N1" s="4" t="str">
        <x:v>SPL_1000</x:v>
      </x:c>
      <x:c r="O1" s="4" t="str">
        <x:v>SPL_1250</x:v>
      </x:c>
      <x:c r="P1" s="4" t="str">
        <x:v>C80_800</x:v>
      </x:c>
      <x:c r="Q1" s="4" t="str">
        <x:v>C80_1000</x:v>
      </x:c>
      <x:c r="R1" s="4" t="str">
        <x:v>C80_1250</x:v>
      </x:c>
    </x:row>
    <x:row r="2">
      <x:c r="A2" s="8" t="n">
        <x:v>0</x:v>
      </x:c>
      <x:c r="B2" s="8" t="str">
        <x:v>R01</x:v>
      </x:c>
      <x:c r="C2" s="8" t="n">
        <x:v>3.900218963623047</x:v>
      </x:c>
      <x:c r="D2" s="8" t="n">
        <x:v>3.8465256690979004</x:v>
      </x:c>
      <x:c r="E2" s="8" t="n">
        <x:v>-5.223169803619385</x:v>
      </x:c>
      <x:c r="F2" s="8" t="n">
        <x:v>-5.6183247566223145</x:v>
      </x:c>
      <x:c r="G2" s="8" t="n">
        <x:v>21.635318756103516</x:v>
      </x:c>
      <x:c r="H2" s="8" t="n">
        <x:v>306.3796081542969</x:v>
      </x:c>
      <x:c r="I2" s="8" t="n">
        <x:v>69.27621459960938</x:v>
      </x:c>
      <x:c r="J2" s="8" t="n">
        <x:v>69.10574340820312</x:v>
      </x:c>
      <x:c r="K2" s="8" t="n">
        <x:v>4.184854507446289</x:v>
      </x:c>
      <x:c r="L2" s="8" t="n">
        <x:v>3.9139702320098877</x:v>
      </x:c>
      <x:c r="M2" s="8" t="n">
        <x:v>65.54955291748047</x:v>
      </x:c>
      <x:c r="N2" s="8" t="n">
        <x:v>64.77125549316406</x:v>
      </x:c>
      <x:c r="O2" s="8" t="n">
        <x:v>62.73237228393555</x:v>
      </x:c>
      <x:c r="P2" s="8" t="n">
        <x:v>-4.040715217590332</x:v>
      </x:c>
      <x:c r="Q2" s="8" t="n">
        <x:v>-5.592501640319824</x:v>
      </x:c>
      <x:c r="R2" s="8" t="n">
        <x:v>-7.352825164794922</x:v>
      </x:c>
    </x:row>
    <x:row r="3">
      <x:c r="A3" s="8" t="n">
        <x:v>0</x:v>
      </x:c>
      <x:c r="B3" s="8" t="str">
        <x:v>R02</x:v>
      </x:c>
      <x:c r="C3" s="8" t="n">
        <x:v>4.070389270782471</x:v>
      </x:c>
      <x:c r="D3" s="8" t="n">
        <x:v>3.78080415725708</x:v>
      </x:c>
      <x:c r="E3" s="8" t="n">
        <x:v>-7.6647796630859375</x:v>
      </x:c>
      <x:c r="F3" s="8" t="n">
        <x:v>-7.729609489440918</x:v>
      </x:c>
      <x:c r="G3" s="8" t="n">
        <x:v>14.459941864013672</x:v>
      </x:c>
      <x:c r="H3" s="8" t="n">
        <x:v>324.63360595703125</x:v>
      </x:c>
      <x:c r="I3" s="8" t="n">
        <x:v>69.09675598144531</x:v>
      </x:c>
      <x:c r="J3" s="8" t="n">
        <x:v>68.93440246582031</x:v>
      </x:c>
      <x:c r="K3" s="8" t="n">
        <x:v>4.005390644073486</x:v>
      </x:c>
      <x:c r="L3" s="8" t="n">
        <x:v>3.832031011581421</x:v>
      </x:c>
      <x:c r="M3" s="8" t="n">
        <x:v>65.33049011230469</x:v>
      </x:c>
      <x:c r="N3" s="8" t="n">
        <x:v>64.54338836669922</x:v>
      </x:c>
      <x:c r="O3" s="8" t="n">
        <x:v>62.70269012451172</x:v>
      </x:c>
      <x:c r="P3" s="8" t="n">
        <x:v>-6.876276969909668</x:v>
      </x:c>
      <x:c r="Q3" s="8" t="n">
        <x:v>-7.94035005569458</x:v>
      </x:c>
      <x:c r="R3" s="8" t="n">
        <x:v>-8.91415786743164</x:v>
      </x:c>
    </x:row>
    <x:row r="4">
      <x:c r="A4" s="8" t="n">
        <x:v>0</x:v>
      </x:c>
      <x:c r="B4" s="8" t="str">
        <x:v>R03</x:v>
      </x:c>
      <x:c r="C4" s="8" t="n">
        <x:v>4.0459794998168945</x:v>
      </x:c>
      <x:c r="D4" s="8" t="n">
        <x:v>3.7813966274261475</x:v>
      </x:c>
      <x:c r="E4" s="8" t="n">
        <x:v>-7.689343452453613</x:v>
      </x:c>
      <x:c r="F4" s="8" t="n">
        <x:v>-7.750370025634766</x:v>
      </x:c>
      <x:c r="G4" s="8" t="n">
        <x:v>14.382135391235352</x:v>
      </x:c>
      <x:c r="H4" s="8" t="n">
        <x:v>328.4505310058594</x:v>
      </x:c>
      <x:c r="I4" s="8" t="n">
        <x:v>68.96600341796875</x:v>
      </x:c>
      <x:c r="J4" s="8" t="n">
        <x:v>68.81824493408203</x:v>
      </x:c>
      <x:c r="K4" s="8" t="n">
        <x:v>3.8746447563171387</x:v>
      </x:c>
      <x:c r="L4" s="8" t="n">
        <x:v>3.919381618499756</x:v>
      </x:c>
      <x:c r="M4" s="8" t="n">
        <x:v>65.0260009765625</x:v>
      </x:c>
      <x:c r="N4" s="8" t="n">
        <x:v>64.57441711425781</x:v>
      </x:c>
      <x:c r="O4" s="8" t="n">
        <x:v>62.63160705566406</x:v>
      </x:c>
      <x:c r="P4" s="8" t="n">
        <x:v>-7.308483600616455</x:v>
      </x:c>
      <x:c r="Q4" s="8" t="n">
        <x:v>-7.817636489868164</x:v>
      </x:c>
      <x:c r="R4" s="8" t="n">
        <x:v>-8.192939758300781</x:v>
      </x:c>
    </x:row>
    <x:row r="5">
      <x:c r="A5" s="8" t="n">
        <x:v>0</x:v>
      </x:c>
      <x:c r="B5" s="8" t="str">
        <x:v>R04</x:v>
      </x:c>
      <x:c r="C5" s="8" t="n">
        <x:v>3.983111619949341</x:v>
      </x:c>
      <x:c r="D5" s="8" t="n">
        <x:v>3.798008918762207</x:v>
      </x:c>
      <x:c r="E5" s="8" t="n">
        <x:v>-6.1138200759887695</x:v>
      </x:c>
      <x:c r="F5" s="8" t="n">
        <x:v>-6.489961624145508</x:v>
      </x:c>
      <x:c r="G5" s="8" t="n">
        <x:v>18.727224349975586</x:v>
      </x:c>
      <x:c r="H5" s="8" t="n">
        <x:v>314.1507568359375</x:v>
      </x:c>
      <x:c r="I5" s="8" t="n">
        <x:v>69.23123168945312</x:v>
      </x:c>
      <x:c r="J5" s="8" t="n">
        <x:v>69.07240295410156</x:v>
      </x:c>
      <x:c r="K5" s="8" t="n">
        <x:v>4.139870643615723</x:v>
      </x:c>
      <x:c r="L5" s="8" t="n">
        <x:v>3.8658902645111084</x:v>
      </x:c>
      <x:c r="M5" s="8" t="n">
        <x:v>65.40167236328125</x:v>
      </x:c>
      <x:c r="N5" s="8" t="n">
        <x:v>64.77227783203125</x:v>
      </x:c>
      <x:c r="O5" s="8" t="n">
        <x:v>62.80632019042969</x:v>
      </x:c>
      <x:c r="P5" s="8" t="n">
        <x:v>-4.7991790771484375</x:v>
      </x:c>
      <x:c r="Q5" s="8" t="n">
        <x:v>-6.653913974761963</x:v>
      </x:c>
      <x:c r="R5" s="8" t="n">
        <x:v>-8.200885772705078</x:v>
      </x:c>
    </x:row>
    <x:row r="6">
      <x:c r="A6" s="8" t="n">
        <x:v>0</x:v>
      </x:c>
      <x:c r="B6" s="8" t="str">
        <x:v>R05</x:v>
      </x:c>
      <x:c r="C6" s="8" t="n">
        <x:v>3.8515236377716064</x:v>
      </x:c>
      <x:c r="D6" s="8" t="n">
        <x:v>3.7917227745056152</x:v>
      </x:c>
      <x:c r="E6" s="8" t="n">
        <x:v>-4.923471927642822</x:v>
      </x:c>
      <x:c r="F6" s="8" t="n">
        <x:v>-5.322851657867432</x:v>
      </x:c>
      <x:c r="G6" s="8" t="n">
        <x:v>23.252517700195312</x:v>
      </x:c>
      <x:c r="H6" s="8" t="n">
        <x:v>303.0946350097656</x:v>
      </x:c>
      <x:c r="I6" s="8" t="n">
        <x:v>69.39511108398438</x:v>
      </x:c>
      <x:c r="J6" s="8" t="n">
        <x:v>69.21920013427734</x:v>
      </x:c>
      <x:c r="K6" s="8" t="n">
        <x:v>4.303750514984131</x:v>
      </x:c>
      <x:c r="L6" s="8" t="n">
        <x:v>3.8940646648406982</x:v>
      </x:c>
      <x:c r="M6" s="8" t="n">
        <x:v>65.70750427246094</x:v>
      </x:c>
      <x:c r="N6" s="8" t="n">
        <x:v>64.88943481445312</x:v>
      </x:c>
      <x:c r="O6" s="8" t="n">
        <x:v>62.7767333984375</x:v>
      </x:c>
      <x:c r="P6" s="8" t="n">
        <x:v>-3.660006284713745</x:v>
      </x:c>
      <x:c r="Q6" s="8" t="n">
        <x:v>-5.606803894042969</x:v>
      </x:c>
      <x:c r="R6" s="8" t="n">
        <x:v>-6.696496486663818</x:v>
      </x:c>
    </x:row>
    <x:row r="7">
      <x:c r="A7" s="8" t="n">
        <x:v>0</x:v>
      </x:c>
      <x:c r="B7" s="8" t="str">
        <x:v>R06</x:v>
      </x:c>
      <x:c r="C7" s="8" t="n">
        <x:v>3.877764940261841</x:v>
      </x:c>
      <x:c r="D7" s="8" t="n">
        <x:v>3.8046629428863525</x:v>
      </x:c>
      <x:c r="E7" s="8" t="n">
        <x:v>-2.7814369201660156</x:v>
      </x:c>
      <x:c r="F7" s="8" t="n">
        <x:v>-4.100257396697998</x:v>
      </x:c>
      <x:c r="G7" s="8" t="n">
        <x:v>28.927125930786133</x:v>
      </x:c>
      <x:c r="H7" s="8" t="n">
        <x:v>271.8531799316406</x:v>
      </x:c>
      <x:c r="I7" s="8" t="n">
        <x:v>69.99652862548828</x:v>
      </x:c>
      <x:c r="J7" s="8" t="n">
        <x:v>69.85525512695312</x:v>
      </x:c>
      <x:c r="K7" s="8" t="n">
        <x:v>4.905165195465088</x:v>
      </x:c>
      <x:c r="L7" s="8" t="n">
        <x:v>3.897625207901001</x:v>
      </x:c>
      <x:c r="M7" s="8" t="n">
        <x:v>65.9482421875</x:v>
      </x:c>
      <x:c r="N7" s="8" t="n">
        <x:v>65.73998260498047</x:v>
      </x:c>
      <x:c r="O7" s="8" t="n">
        <x:v>63.63311004638672</x:v>
      </x:c>
      <x:c r="P7" s="8" t="n">
        <x:v>-2.4581899642944336</x:v>
      </x:c>
      <x:c r="Q7" s="8" t="n">
        <x:v>-2.562535047531128</x:v>
      </x:c>
      <x:c r="R7" s="8" t="n">
        <x:v>-3.7320172786712646</x:v>
      </x:c>
    </x:row>
    <x:row r="8">
      <x:c r="A8" s="8" t="n">
        <x:v>0</x:v>
      </x:c>
      <x:c r="B8" s="8" t="str">
        <x:v>R07</x:v>
      </x:c>
      <x:c r="C8" s="8" t="n">
        <x:v>3.9035496711730957</x:v>
      </x:c>
      <x:c r="D8" s="8" t="n">
        <x:v>3.7511191368103027</x:v>
      </x:c>
      <x:c r="E8" s="8" t="n">
        <x:v>-2.438908338546753</x:v>
      </x:c>
      <x:c r="F8" s="8" t="n">
        <x:v>-3.425565719604492</x:v>
      </x:c>
      <x:c r="G8" s="8" t="n">
        <x:v>31.381765365600586</x:v>
      </x:c>
      <x:c r="H8" s="8" t="n">
        <x:v>270.05987548828125</x:v>
      </x:c>
      <x:c r="I8" s="8" t="n">
        <x:v>70.00516510009766</x:v>
      </x:c>
      <x:c r="J8" s="8" t="n">
        <x:v>69.85612487792969</x:v>
      </x:c>
      <x:c r="K8" s="8" t="n">
        <x:v>4.913801193237305</x:v>
      </x:c>
      <x:c r="L8" s="8" t="n">
        <x:v>3.8468031883239746</x:v>
      </x:c>
      <x:c r="M8" s="8" t="n">
        <x:v>66.04425811767578</x:v>
      </x:c>
      <x:c r="N8" s="8" t="n">
        <x:v>65.68522644042969</x:v>
      </x:c>
      <x:c r="O8" s="8" t="n">
        <x:v>63.59326171875</x:v>
      </x:c>
      <x:c r="P8" s="8" t="n">
        <x:v>-2.2660481929779053</x:v>
      </x:c>
      <x:c r="Q8" s="8" t="n">
        <x:v>-2.182962656021118</x:v>
      </x:c>
      <x:c r="R8" s="8" t="n">
        <x:v>-3.170163869857788</x:v>
      </x:c>
    </x:row>
    <x:row r="9">
      <x:c r="A9" s="8" t="n">
        <x:v>0</x:v>
      </x:c>
      <x:c r="B9" s="8" t="str">
        <x:v>R08</x:v>
      </x:c>
      <x:c r="C9" s="8" t="n">
        <x:v>3.7927300930023193</x:v>
      </x:c>
      <x:c r="D9" s="8" t="n">
        <x:v>3.805368185043335</x:v>
      </x:c>
      <x:c r="E9" s="8" t="n">
        <x:v>-2.402369499206543</x:v>
      </x:c>
      <x:c r="F9" s="8" t="n">
        <x:v>-3.580416440963745</x:v>
      </x:c>
      <x:c r="G9" s="8" t="n">
        <x:v>30.58435821533203</x:v>
      </x:c>
      <x:c r="H9" s="8" t="n">
        <x:v>260.7682189941406</x:v>
      </x:c>
      <x:c r="I9" s="8" t="n">
        <x:v>70.27008819580078</x:v>
      </x:c>
      <x:c r="J9" s="8" t="n">
        <x:v>70.1139144897461</x:v>
      </x:c>
      <x:c r="K9" s="8" t="n">
        <x:v>5.178720474243164</x:v>
      </x:c>
      <x:c r="L9" s="8" t="n">
        <x:v>3.921082019805908</x:v>
      </x:c>
      <x:c r="M9" s="8" t="n">
        <x:v>66.42688751220703</x:v>
      </x:c>
      <x:c r="N9" s="8" t="n">
        <x:v>65.79623413085938</x:v>
      </x:c>
      <x:c r="O9" s="8" t="n">
        <x:v>63.89302062988281</x:v>
      </x:c>
      <x:c r="P9" s="8" t="n">
        <x:v>-1.8502205610275269</x:v>
      </x:c>
      <x:c r="Q9" s="8" t="n">
        <x:v>-2.499328374862671</x:v>
      </x:c>
      <x:c r="R9" s="8" t="n">
        <x:v>-3.286574125289917</x:v>
      </x:c>
    </x:row>
    <x:row r="10">
      <x:c r="A10" s="8" t="n">
        <x:v>0</x:v>
      </x:c>
      <x:c r="B10" s="8" t="str">
        <x:v>R09</x:v>
      </x:c>
      <x:c r="C10" s="8" t="n">
        <x:v>3.8386359214782715</x:v>
      </x:c>
      <x:c r="D10" s="8" t="n">
        <x:v>3.8380939960479736</x:v>
      </x:c>
      <x:c r="E10" s="8" t="n">
        <x:v>-2.542029619216919</x:v>
      </x:c>
      <x:c r="F10" s="8" t="n">
        <x:v>-3.596930742263794</x:v>
      </x:c>
      <x:c r="G10" s="8" t="n">
        <x:v>31.465429306030273</x:v>
      </x:c>
      <x:c r="H10" s="8" t="n">
        <x:v>270.6219787597656</x:v>
      </x:c>
      <x:c r="I10" s="8" t="n">
        <x:v>70.01423645019531</x:v>
      </x:c>
      <x:c r="J10" s="8" t="n">
        <x:v>69.8662338256836</x:v>
      </x:c>
      <x:c r="K10" s="8" t="n">
        <x:v>4.922873020172119</x:v>
      </x:c>
      <x:c r="L10" s="8" t="n">
        <x:v>3.908862829208374</x:v>
      </x:c>
      <x:c r="M10" s="8" t="n">
        <x:v>66.07747650146484</x:v>
      </x:c>
      <x:c r="N10" s="8" t="n">
        <x:v>65.61934661865234</x:v>
      </x:c>
      <x:c r="O10" s="8" t="n">
        <x:v>63.67937088012695</x:v>
      </x:c>
      <x:c r="P10" s="8" t="n">
        <x:v>-2.141002655029297</x:v>
      </x:c>
      <x:c r="Q10" s="8" t="n">
        <x:v>-2.5598666667938232</x:v>
      </x:c>
      <x:c r="R10" s="8" t="n">
        <x:v>-3.214341640472412</x:v>
      </x:c>
    </x:row>
    <x:row r="11">
      <x:c r="A11" s="8" t="n">
        <x:v>0</x:v>
      </x:c>
      <x:c r="B11" s="8" t="str">
        <x:v>R10</x:v>
      </x:c>
      <x:c r="C11" s="8" t="n">
        <x:v>3.855290174484253</x:v>
      </x:c>
      <x:c r="D11" s="8" t="n">
        <x:v>3.7618508338928223</x:v>
      </x:c>
      <x:c r="E11" s="8" t="n">
        <x:v>-3.552952766418457</x:v>
      </x:c>
      <x:c r="F11" s="8" t="n">
        <x:v>-4.791304111480713</x:v>
      </x:c>
      <x:c r="G11" s="8" t="n">
        <x:v>25.078508377075195</x:v>
      </x:c>
      <x:c r="H11" s="8" t="n">
        <x:v>294.56884765625</x:v>
      </x:c>
      <x:c r="I11" s="8" t="n">
        <x:v>69.6631851196289</x:v>
      </x:c>
      <x:c r="J11" s="8" t="n">
        <x:v>69.51625061035156</x:v>
      </x:c>
      <x:c r="K11" s="8" t="n">
        <x:v>4.571823596954346</x:v>
      </x:c>
      <x:c r="L11" s="8" t="n">
        <x:v>3.7978997230529785</x:v>
      </x:c>
      <x:c r="M11" s="8" t="n">
        <x:v>65.7411880493164</x:v>
      </x:c>
      <x:c r="N11" s="8" t="n">
        <x:v>65.21369934082031</x:v>
      </x:c>
      <x:c r="O11" s="8" t="n">
        <x:v>63.38703918457031</x:v>
      </x:c>
      <x:c r="P11" s="8" t="n">
        <x:v>-3.1397483348846436</x:v>
      </x:c>
      <x:c r="Q11" s="8" t="n">
        <x:v>-3.8447704315185547</x:v>
      </x:c>
      <x:c r="R11" s="8" t="n">
        <x:v>-3.843079090118408</x:v>
      </x:c>
    </x:row>
    <x:row r="12">
      <x:c r="A12" s="8" t="n">
        <x:v>0</x:v>
      </x:c>
      <x:c r="B12" s="8" t="str">
        <x:v>R11</x:v>
      </x:c>
      <x:c r="C12" s="8" t="n">
        <x:v>3.886596441268921</x:v>
      </x:c>
      <x:c r="D12" s="8" t="n">
        <x:v>3.8143553733825684</x:v>
      </x:c>
      <x:c r="E12" s="8" t="n">
        <x:v>-1.3129982948303223</x:v>
      </x:c>
      <x:c r="F12" s="8" t="n">
        <x:v>-3.1765973567962646</x:v>
      </x:c>
      <x:c r="G12" s="8" t="n">
        <x:v>33.27147674560547</x:v>
      </x:c>
      <x:c r="H12" s="8" t="n">
        <x:v>265.1199035644531</x:v>
      </x:c>
      <x:c r="I12" s="8" t="n">
        <x:v>70.82349395751953</x:v>
      </x:c>
      <x:c r="J12" s="8" t="n">
        <x:v>70.7049331665039</x:v>
      </x:c>
      <x:c r="K12" s="8" t="n">
        <x:v>5.732131481170654</x:v>
      </x:c>
      <x:c r="L12" s="8" t="n">
        <x:v>3.8250715732574463</x:v>
      </x:c>
      <x:c r="M12" s="8" t="n">
        <x:v>66.67035675048828</x:v>
      </x:c>
      <x:c r="N12" s="8" t="n">
        <x:v>66.39918518066406</x:v>
      </x:c>
      <x:c r="O12" s="8" t="n">
        <x:v>64.88267517089844</x:v>
      </x:c>
      <x:c r="P12" s="8" t="n">
        <x:v>-1.348304271697998</x:v>
      </x:c>
      <x:c r="Q12" s="8" t="n">
        <x:v>-1.2696585655212402</x:v>
      </x:c>
      <x:c r="R12" s="8" t="n">
        <x:v>-1.3212597370147705</x:v>
      </x:c>
    </x:row>
    <x:row r="13">
      <x:c r="A13" s="8" t="n">
        <x:v>0</x:v>
      </x:c>
      <x:c r="B13" s="8" t="str">
        <x:v>R12</x:v>
      </x:c>
      <x:c r="C13" s="8" t="n">
        <x:v>3.9709503650665283</x:v>
      </x:c>
      <x:c r="D13" s="8" t="n">
        <x:v>3.825064182281494</x:v>
      </x:c>
      <x:c r="E13" s="8" t="n">
        <x:v>-1.3641085624694824</x:v>
      </x:c>
      <x:c r="F13" s="8" t="n">
        <x:v>-2.8171658515930176</x:v>
      </x:c>
      <x:c r="G13" s="8" t="n">
        <x:v>35.588470458984375</x:v>
      </x:c>
      <x:c r="H13" s="8" t="n">
        <x:v>268.2462463378906</x:v>
      </x:c>
      <x:c r="I13" s="8" t="n">
        <x:v>70.63294219970703</x:v>
      </x:c>
      <x:c r="J13" s="8" t="n">
        <x:v>70.514892578125</x:v>
      </x:c>
      <x:c r="K13" s="8" t="n">
        <x:v>5.541582107543945</x:v>
      </x:c>
      <x:c r="L13" s="8" t="n">
        <x:v>3.835785388946533</x:v>
      </x:c>
      <x:c r="M13" s="8" t="n">
        <x:v>66.50712585449219</x:v>
      </x:c>
      <x:c r="N13" s="8" t="n">
        <x:v>66.13642883300781</x:v>
      </x:c>
      <x:c r="O13" s="8" t="n">
        <x:v>64.75186920166016</x:v>
      </x:c>
      <x:c r="P13" s="8" t="n">
        <x:v>-1.359197974205017</x:v>
      </x:c>
      <x:c r="Q13" s="8" t="n">
        <x:v>-1.6440443992614746</x:v>
      </x:c>
      <x:c r="R13" s="8" t="n">
        <x:v>-0.9900157451629639</x:v>
      </x:c>
    </x:row>
    <x:row r="14">
      <x:c r="A14" s="8" t="n">
        <x:v>0</x:v>
      </x:c>
      <x:c r="B14" s="8" t="str">
        <x:v>R13</x:v>
      </x:c>
      <x:c r="C14" s="8" t="n">
        <x:v>3.85774827003479</x:v>
      </x:c>
      <x:c r="D14" s="8" t="n">
        <x:v>3.8122549057006836</x:v>
      </x:c>
      <x:c r="E14" s="8" t="n">
        <x:v>-1.3873932361602783</x:v>
      </x:c>
      <x:c r="F14" s="8" t="n">
        <x:v>-2.909954071044922</x:v>
      </x:c>
      <x:c r="G14" s="8" t="n">
        <x:v>35.09929275512695</x:v>
      </x:c>
      <x:c r="H14" s="8" t="n">
        <x:v>265.1317138671875</x:v>
      </x:c>
      <x:c r="I14" s="8" t="n">
        <x:v>70.68972778320312</x:v>
      </x:c>
      <x:c r="J14" s="8" t="n">
        <x:v>70.57119750976562</x:v>
      </x:c>
      <x:c r="K14" s="8" t="n">
        <x:v>5.5983686447143555</x:v>
      </x:c>
      <x:c r="L14" s="8" t="n">
        <x:v>3.9252092838287354</x:v>
      </x:c>
      <x:c r="M14" s="8" t="n">
        <x:v>66.54974365234375</x:v>
      </x:c>
      <x:c r="N14" s="8" t="n">
        <x:v>66.2348861694336</x:v>
      </x:c>
      <x:c r="O14" s="8" t="n">
        <x:v>64.77212524414062</x:v>
      </x:c>
      <x:c r="P14" s="8" t="n">
        <x:v>-1.4100151062011719</x:v>
      </x:c>
      <x:c r="Q14" s="8" t="n">
        <x:v>-1.2310701608657837</x:v>
      </x:c>
      <x:c r="R14" s="8" t="n">
        <x:v>-1.573982834815979</x:v>
      </x:c>
    </x:row>
    <x:row r="15">
      <x:c r="A15" s="8" t="n">
        <x:v>0</x:v>
      </x:c>
      <x:c r="B15" s="8" t="str">
        <x:v>R14</x:v>
      </x:c>
      <x:c r="C15" s="8" t="n">
        <x:v>3.779600143432617</x:v>
      </x:c>
      <x:c r="D15" s="8" t="n">
        <x:v>3.8087565898895264</x:v>
      </x:c>
      <x:c r="E15" s="8" t="n">
        <x:v>-1.0671992301940918</x:v>
      </x:c>
      <x:c r="F15" s="8" t="n">
        <x:v>-2.7377963066101074</x:v>
      </x:c>
      <x:c r="G15" s="8" t="n">
        <x:v>35.55142593383789</x:v>
      </x:c>
      <x:c r="H15" s="8" t="n">
        <x:v>255.48207092285156</x:v>
      </x:c>
      <x:c r="I15" s="8" t="n">
        <x:v>70.94673919677734</x:v>
      </x:c>
      <x:c r="J15" s="8" t="n">
        <x:v>70.81117248535156</x:v>
      </x:c>
      <x:c r="K15" s="8" t="n">
        <x:v>5.8553786277771</x:v>
      </x:c>
      <x:c r="L15" s="8" t="n">
        <x:v>3.8020336627960205</x:v>
      </x:c>
      <x:c r="M15" s="8" t="n">
        <x:v>67.02542114257812</x:v>
      </x:c>
      <x:c r="N15" s="8" t="n">
        <x:v>66.2833023071289</x:v>
      </x:c>
      <x:c r="O15" s="8" t="n">
        <x:v>64.976318359375</x:v>
      </x:c>
      <x:c r="P15" s="8" t="n">
        <x:v>-0.6042243242263794</x:v>
      </x:c>
      <x:c r="Q15" s="8" t="n">
        <x:v>-1.5669801235198975</x:v>
      </x:c>
      <x:c r="R15" s="8" t="n">
        <x:v>-1.1432936191558838</x:v>
      </x:c>
    </x:row>
    <x:row r="16">
      <x:c r="A16" s="8" t="n">
        <x:v>0</x:v>
      </x:c>
      <x:c r="B16" s="8" t="str">
        <x:v>R15</x:v>
      </x:c>
      <x:c r="C16" s="8" t="n">
        <x:v>3.7826642990112305</x:v>
      </x:c>
      <x:c r="D16" s="8" t="n">
        <x:v>3.779691219329834</x:v>
      </x:c>
      <x:c r="E16" s="8" t="n">
        <x:v>-2.0252461433410645</x:v>
      </x:c>
      <x:c r="F16" s="8" t="n">
        <x:v>-4.163926124572754</x:v>
      </x:c>
      <x:c r="G16" s="8" t="n">
        <x:v>29.297945022583008</x:v>
      </x:c>
      <x:c r="H16" s="8" t="n">
        <x:v>273.29156494140625</x:v>
      </x:c>
      <x:c r="I16" s="8" t="n">
        <x:v>70.68745422363281</x:v>
      </x:c>
      <x:c r="J16" s="8" t="n">
        <x:v>70.55001831054688</x:v>
      </x:c>
      <x:c r="K16" s="8" t="n">
        <x:v>5.596095085144043</x:v>
      </x:c>
      <x:c r="L16" s="8" t="n">
        <x:v>3.7937421798706055</x:v>
      </x:c>
      <x:c r="M16" s="8" t="n">
        <x:v>66.69854736328125</x:v>
      </x:c>
      <x:c r="N16" s="8" t="n">
        <x:v>66.22514343261719</x:v>
      </x:c>
      <x:c r="O16" s="8" t="n">
        <x:v>64.54296875</x:v>
      </x:c>
      <x:c r="P16" s="8" t="n">
        <x:v>-1.8744314908981323</x:v>
      </x:c>
      <x:c r="Q16" s="8" t="n">
        <x:v>-1.9909952878952026</x:v>
      </x:c>
      <x:c r="R16" s="8" t="n">
        <x:v>-2.3255419731140137</x:v>
      </x:c>
    </x:row>
    <x:row r="17">
      <x:c r="A17" s="8" t="n">
        <x:v>0</x:v>
      </x:c>
      <x:c r="B17" s="8" t="str">
        <x:v>R16</x:v>
      </x:c>
      <x:c r="C17" s="8" t="n">
        <x:v>3.81937837600708</x:v>
      </x:c>
      <x:c r="D17" s="8" t="n">
        <x:v>3.881704330444336</x:v>
      </x:c>
      <x:c r="E17" s="8" t="n">
        <x:v>-1.4315354824066162</x:v>
      </x:c>
      <x:c r="F17" s="8" t="n">
        <x:v>-2.72843337059021</x:v>
      </x:c>
      <x:c r="G17" s="8" t="n">
        <x:v>35.94941329956055</x:v>
      </x:c>
      <x:c r="H17" s="8" t="n">
        <x:v>275.9461669921875</x:v>
      </x:c>
      <x:c r="I17" s="8" t="n">
        <x:v>70.98099517822266</x:v>
      </x:c>
      <x:c r="J17" s="8" t="n">
        <x:v>70.86347198486328</x:v>
      </x:c>
      <x:c r="K17" s="8" t="n">
        <x:v>5.889634132385254</x:v>
      </x:c>
      <x:c r="L17" s="8" t="n">
        <x:v>3.774773359298706</x:v>
      </x:c>
      <x:c r="M17" s="8" t="n">
        <x:v>66.79896545410156</x:v>
      </x:c>
      <x:c r="N17" s="8" t="n">
        <x:v>66.60317993164062</x:v>
      </x:c>
      <x:c r="O17" s="8" t="n">
        <x:v>65.01732635498047</x:v>
      </x:c>
      <x:c r="P17" s="8" t="n">
        <x:v>-1.475478172302246</x:v>
      </x:c>
      <x:c r="Q17" s="8" t="n">
        <x:v>-1.494737982749939</x:v>
      </x:c>
      <x:c r="R17" s="8" t="n">
        <x:v>-1.2744970321655273</x:v>
      </x:c>
    </x:row>
    <x:row r="18">
      <x:c r="A18" s="8" t="n">
        <x:v>0</x:v>
      </x:c>
      <x:c r="B18" s="8" t="str">
        <x:v>R17</x:v>
      </x:c>
      <x:c r="C18" s="8" t="n">
        <x:v>3.9646387100219727</x:v>
      </x:c>
      <x:c r="D18" s="8" t="n">
        <x:v>3.915520668029785</x:v>
      </x:c>
      <x:c r="E18" s="8" t="n">
        <x:v>-0.9833279252052307</x:v>
      </x:c>
      <x:c r="F18" s="8" t="n">
        <x:v>-2.5184388160705566</x:v>
      </x:c>
      <x:c r="G18" s="8" t="n">
        <x:v>37.665374755859375</x:v>
      </x:c>
      <x:c r="H18" s="8" t="n">
        <x:v>276.16033935546875</x:v>
      </x:c>
      <x:c r="I18" s="8" t="n">
        <x:v>70.83036804199219</x:v>
      </x:c>
      <x:c r="J18" s="8" t="n">
        <x:v>70.73023986816406</x:v>
      </x:c>
      <x:c r="K18" s="8" t="n">
        <x:v>5.738999843597412</x:v>
      </x:c>
      <x:c r="L18" s="8" t="n">
        <x:v>3.903078317642212</x:v>
      </x:c>
      <x:c r="M18" s="8" t="n">
        <x:v>66.56157684326172</x:v>
      </x:c>
      <x:c r="N18" s="8" t="n">
        <x:v>66.32853698730469</x:v>
      </x:c>
      <x:c r="O18" s="8" t="n">
        <x:v>65.16197967529297</x:v>
      </x:c>
      <x:c r="P18" s="8" t="n">
        <x:v>-1.042457938194275</x:v>
      </x:c>
      <x:c r="Q18" s="8" t="n">
        <x:v>-1.2290250062942505</x:v>
      </x:c>
      <x:c r="R18" s="8" t="n">
        <x:v>-0.5835601091384888</x:v>
      </x:c>
    </x:row>
    <x:row r="19">
      <x:c r="A19" s="8" t="n">
        <x:v>0</x:v>
      </x:c>
      <x:c r="B19" s="8" t="str">
        <x:v>R18</x:v>
      </x:c>
      <x:c r="C19" s="8" t="n">
        <x:v>3.8616137504577637</x:v>
      </x:c>
      <x:c r="D19" s="8" t="n">
        <x:v>4.016336441040039</x:v>
      </x:c>
      <x:c r="E19" s="8" t="n">
        <x:v>-1.0523592233657837</x:v>
      </x:c>
      <x:c r="F19" s="8" t="n">
        <x:v>-3.2520570755004883</x:v>
      </x:c>
      <x:c r="G19" s="8" t="n">
        <x:v>33.585968017578125</x:v>
      </x:c>
      <x:c r="H19" s="8" t="n">
        <x:v>268.6829528808594</x:v>
      </x:c>
      <x:c r="I19" s="8" t="n">
        <x:v>70.86072540283203</x:v>
      </x:c>
      <x:c r="J19" s="8" t="n">
        <x:v>70.7291030883789</x:v>
      </x:c>
      <x:c r="K19" s="8" t="n">
        <x:v>5.769362926483154</x:v>
      </x:c>
      <x:c r="L19" s="8" t="n">
        <x:v>3.8707633018493652</x:v>
      </x:c>
      <x:c r="M19" s="8" t="n">
        <x:v>66.85082244873047</x:v>
      </x:c>
      <x:c r="N19" s="8" t="n">
        <x:v>66.34162139892578</x:v>
      </x:c>
      <x:c r="O19" s="8" t="n">
        <x:v>64.83220672607422</x:v>
      </x:c>
      <x:c r="P19" s="8" t="n">
        <x:v>-1.1126784086227417</x:v>
      </x:c>
      <x:c r="Q19" s="8" t="n">
        <x:v>-1.0765748023986816</x:v>
      </x:c>
      <x:c r="R19" s="8" t="n">
        <x:v>-0.9228808879852295</x:v>
      </x:c>
    </x:row>
    <x:row r="20">
      <x:c r="A20" s="8" t="n">
        <x:v>0</x:v>
      </x:c>
      <x:c r="B20" s="8" t="str">
        <x:v>R19</x:v>
      </x:c>
      <x:c r="C20" s="8" t="n">
        <x:v>3.8777916431427</x:v>
      </x:c>
      <x:c r="D20" s="8" t="n">
        <x:v>3.8910200595855713</x:v>
      </x:c>
      <x:c r="E20" s="8" t="n">
        <x:v>-1.1717238426208496</x:v>
      </x:c>
      <x:c r="F20" s="8" t="n">
        <x:v>-2.631356954574585</x:v>
      </x:c>
      <x:c r="G20" s="8" t="n">
        <x:v>35.88972854614258</x:v>
      </x:c>
      <x:c r="H20" s="8" t="n">
        <x:v>275.3106994628906</x:v>
      </x:c>
      <x:c r="I20" s="8" t="n">
        <x:v>70.99564361572266</x:v>
      </x:c>
      <x:c r="J20" s="8" t="n">
        <x:v>70.87606811523438</x:v>
      </x:c>
      <x:c r="K20" s="8" t="n">
        <x:v>5.904282569885254</x:v>
      </x:c>
      <x:c r="L20" s="8" t="n">
        <x:v>3.8781561851501465</x:v>
      </x:c>
      <x:c r="M20" s="8" t="n">
        <x:v>66.85151672363281</x:v>
      </x:c>
      <x:c r="N20" s="8" t="n">
        <x:v>66.56925964355469</x:v>
      </x:c>
      <x:c r="O20" s="8" t="n">
        <x:v>65.04413604736328</x:v>
      </x:c>
      <x:c r="P20" s="8" t="n">
        <x:v>-0.9341821670532227</x:v>
      </x:c>
      <x:c r="Q20" s="8" t="n">
        <x:v>-1.1877171993255615</x:v>
      </x:c>
      <x:c r="R20" s="8" t="n">
        <x:v>-1.5121049880981445</x:v>
      </x:c>
    </x:row>
    <x:row r="21">
      <x:c r="A21" s="8" t="n">
        <x:v>0</x:v>
      </x:c>
      <x:c r="B21" s="8" t="str">
        <x:v>R20</x:v>
      </x:c>
      <x:c r="C21" s="8" t="n">
        <x:v>3.903208017349243</x:v>
      </x:c>
      <x:c r="D21" s="8" t="n">
        <x:v>3.9001059532165527</x:v>
      </x:c>
      <x:c r="E21" s="8" t="n">
        <x:v>-1.1452032327651978</x:v>
      </x:c>
      <x:c r="F21" s="8" t="n">
        <x:v>-2.2849230766296387</x:v>
      </x:c>
      <x:c r="G21" s="8" t="n">
        <x:v>38.38631820678711</x:v>
      </x:c>
      <x:c r="H21" s="8" t="n">
        <x:v>273.8051452636719</x:v>
      </x:c>
      <x:c r="I21" s="8" t="n">
        <x:v>70.71439361572266</x:v>
      </x:c>
      <x:c r="J21" s="8" t="n">
        <x:v>70.59901428222656</x:v>
      </x:c>
      <x:c r="K21" s="8" t="n">
        <x:v>5.6230316162109375</x:v>
      </x:c>
      <x:c r="L21" s="8" t="n">
        <x:v>3.8438973426818848</x:v>
      </x:c>
      <x:c r="M21" s="8" t="n">
        <x:v>66.53804779052734</x:v>
      </x:c>
      <x:c r="N21" s="8" t="n">
        <x:v>66.28487396240234</x:v>
      </x:c>
      <x:c r="O21" s="8" t="n">
        <x:v>64.81568908691406</x:v>
      </x:c>
      <x:c r="P21" s="8" t="n">
        <x:v>-1.5584728717803955</x:v>
      </x:c>
      <x:c r="Q21" s="8" t="n">
        <x:v>-0.9970251321792603</x:v>
      </x:c>
      <x:c r="R21" s="8" t="n">
        <x:v>-0.7444635629653931</x:v>
      </x:c>
    </x:row>
    <x:row r="22">
      <x:c r="A22" s="8" t="n">
        <x:v>0</x:v>
      </x:c>
      <x:c r="B22" s="8" t="str">
        <x:v>R21</x:v>
      </x:c>
      <x:c r="C22" s="8" t="n">
        <x:v>3.7884790897369385</x:v>
      </x:c>
      <x:c r="D22" s="8" t="n">
        <x:v>3.9351463317871094</x:v>
      </x:c>
      <x:c r="E22" s="8" t="n">
        <x:v>-1.2648088932037354</x:v>
      </x:c>
      <x:c r="F22" s="8" t="n">
        <x:v>-2.221430778503418</x:v>
      </x:c>
      <x:c r="G22" s="8" t="n">
        <x:v>38.70020294189453</x:v>
      </x:c>
      <x:c r="H22" s="8" t="n">
        <x:v>277.094482421875</x:v>
      </x:c>
      <x:c r="I22" s="8" t="n">
        <x:v>71.21001434326172</x:v>
      </x:c>
      <x:c r="J22" s="8" t="n">
        <x:v>71.11739349365234</x:v>
      </x:c>
      <x:c r="K22" s="8" t="n">
        <x:v>6.118654251098633</x:v>
      </x:c>
      <x:c r="L22" s="8" t="n">
        <x:v>3.8854153156280518</x:v>
      </x:c>
      <x:c r="M22" s="8" t="n">
        <x:v>66.908203125</x:v>
      </x:c>
      <x:c r="N22" s="8" t="n">
        <x:v>66.642333984375</x:v>
      </x:c>
      <x:c r="O22" s="8" t="n">
        <x:v>65.67061614990234</x:v>
      </x:c>
      <x:c r="P22" s="8" t="n">
        <x:v>-1.343867301940918</x:v>
      </x:c>
      <x:c r="Q22" s="8" t="n">
        <x:v>-1.541965126991272</x:v>
      </x:c>
      <x:c r="R22" s="8" t="n">
        <x:v>-0.8156421184539795</x:v>
      </x:c>
    </x:row>
    <x:row r="23">
      <x:c r="A23" s="8" t="n">
        <x:v>0</x:v>
      </x:c>
      <x:c r="B23" s="8" t="str">
        <x:v>R22</x:v>
      </x:c>
      <x:c r="C23" s="8" t="n">
        <x:v>3.692009925842285</x:v>
      </x:c>
      <x:c r="D23" s="8" t="n">
        <x:v>3.9192590713500977</x:v>
      </x:c>
      <x:c r="E23" s="8" t="n">
        <x:v>-0.9784293174743652</x:v>
      </x:c>
      <x:c r="F23" s="8" t="n">
        <x:v>-2.470214366912842</x:v>
      </x:c>
      <x:c r="G23" s="8" t="n">
        <x:v>38.12446212768555</x:v>
      </x:c>
      <x:c r="H23" s="8" t="n">
        <x:v>269.2098083496094</x:v>
      </x:c>
      <x:c r="I23" s="8" t="n">
        <x:v>71.41557312011719</x:v>
      </x:c>
      <x:c r="J23" s="8" t="n">
        <x:v>71.30024719238281</x:v>
      </x:c>
      <x:c r="K23" s="8" t="n">
        <x:v>6.324207305908203</x:v>
      </x:c>
      <x:c r="L23" s="8" t="n">
        <x:v>3.87542462348938</x:v>
      </x:c>
      <x:c r="M23" s="8" t="n">
        <x:v>67.24991607666016</x:v>
      </x:c>
      <x:c r="N23" s="8" t="n">
        <x:v>66.96063995361328</x:v>
      </x:c>
      <x:c r="O23" s="8" t="n">
        <x:v>65.53643035888672</x:v>
      </x:c>
      <x:c r="P23" s="8" t="n">
        <x:v>-1.2628811597824097</x:v>
      </x:c>
      <x:c r="Q23" s="8" t="n">
        <x:v>-0.9063887596130371</x:v>
      </x:c>
      <x:c r="R23" s="8" t="n">
        <x:v>-0.6578686237335205</x:v>
      </x:c>
    </x:row>
    <x:row r="24">
      <x:c r="A24" s="8" t="n">
        <x:v>0</x:v>
      </x:c>
      <x:c r="B24" s="8" t="str">
        <x:v>R23</x:v>
      </x:c>
      <x:c r="C24" s="8" t="n">
        <x:v>3.695405960083008</x:v>
      </x:c>
      <x:c r="D24" s="8" t="n">
        <x:v>4.123417377471924</x:v>
      </x:c>
      <x:c r="E24" s="8" t="n">
        <x:v>-0.5453116297721863</x:v>
      </x:c>
      <x:c r="F24" s="8" t="n">
        <x:v>-1.9738644361495972</x:v>
      </x:c>
      <x:c r="G24" s="8" t="n">
        <x:v>40.19320297241211</x:v>
      </x:c>
      <x:c r="H24" s="8" t="n">
        <x:v>263.2882385253906</x:v>
      </x:c>
      <x:c r="I24" s="8" t="n">
        <x:v>71.39360046386719</x:v>
      </x:c>
      <x:c r="J24" s="8" t="n">
        <x:v>71.28097534179688</x:v>
      </x:c>
      <x:c r="K24" s="8" t="n">
        <x:v>6.3022356033325195</x:v>
      </x:c>
      <x:c r="L24" s="8" t="n">
        <x:v>3.8843681812286377</x:v>
      </x:c>
      <x:c r="M24" s="8" t="n">
        <x:v>67.22014617919922</x:v>
      </x:c>
      <x:c r="N24" s="8" t="n">
        <x:v>66.90678405761719</x:v>
      </x:c>
      <x:c r="O24" s="8" t="n">
        <x:v>65.56976318359375</x:v>
      </x:c>
      <x:c r="P24" s="8" t="n">
        <x:v>-0.38111811876296997</x:v>
      </x:c>
      <x:c r="Q24" s="8" t="n">
        <x:v>-0.7368231415748596</x:v>
      </x:c>
      <x:c r="R24" s="8" t="n">
        <x:v>-0.5260377526283264</x:v>
      </x:c>
    </x:row>
    <x:row r="25">
      <x:c r="A25" s="8" t="n">
        <x:v>0</x:v>
      </x:c>
      <x:c r="B25" s="8" t="str">
        <x:v>R24</x:v>
      </x:c>
      <x:c r="C25" s="8" t="n">
        <x:v>3.723475933074951</x:v>
      </x:c>
      <x:c r="D25" s="8" t="n">
        <x:v>3.943561553955078</x:v>
      </x:c>
      <x:c r="E25" s="8" t="n">
        <x:v>-1.2473983764648438</x:v>
      </x:c>
      <x:c r="F25" s="8" t="n">
        <x:v>-2.7432701587677</x:v>
      </x:c>
      <x:c r="G25" s="8" t="n">
        <x:v>36.008663177490234</x:v>
      </x:c>
      <x:c r="H25" s="8" t="n">
        <x:v>272.0873718261719</x:v>
      </x:c>
      <x:c r="I25" s="8" t="n">
        <x:v>71.24740600585938</x:v>
      </x:c>
      <x:c r="J25" s="8" t="n">
        <x:v>71.13658142089844</x:v>
      </x:c>
      <x:c r="K25" s="8" t="n">
        <x:v>6.15604305267334</x:v>
      </x:c>
      <x:c r="L25" s="8" t="n">
        <x:v>3.8822293281555176</x:v>
      </x:c>
      <x:c r="M25" s="8" t="n">
        <x:v>67.03073120117188</x:v>
      </x:c>
      <x:c r="N25" s="8" t="n">
        <x:v>66.8255386352539</x:v>
      </x:c>
      <x:c r="O25" s="8" t="n">
        <x:v>65.39734649658203</x:v>
      </x:c>
      <x:c r="P25" s="8" t="n">
        <x:v>-1.4021419286727905</x:v>
      </x:c>
      <x:c r="Q25" s="8" t="n">
        <x:v>-1.2024251222610474</x:v>
      </x:c>
      <x:c r="R25" s="8" t="n">
        <x:v>-1.085205316543579</x:v>
      </x:c>
    </x:row>
    <x:row r="26">
      <x:c r="A26" s="8" t="n">
        <x:v>0</x:v>
      </x:c>
      <x:c r="B26" s="8" t="str">
        <x:v>R25</x:v>
      </x:c>
      <x:c r="C26" s="8" t="n">
        <x:v>3.851999044418335</x:v>
      </x:c>
      <x:c r="D26" s="8" t="n">
        <x:v>3.881747007369995</x:v>
      </x:c>
      <x:c r="E26" s="8" t="n">
        <x:v>-0.8008330464363098</x:v>
      </x:c>
      <x:c r="F26" s="8" t="n">
        <x:v>-1.7278587818145752</x:v>
      </x:c>
      <x:c r="G26" s="8" t="n">
        <x:v>42.28487777709961</x:v>
      </x:c>
      <x:c r="H26" s="8" t="n">
        <x:v>276.1716003417969</x:v>
      </x:c>
      <x:c r="I26" s="8" t="n">
        <x:v>70.97624969482422</x:v>
      </x:c>
      <x:c r="J26" s="8" t="n">
        <x:v>70.8785171508789</x:v>
      </x:c>
      <x:c r="K26" s="8" t="n">
        <x:v>5.884882926940918</x:v>
      </x:c>
      <x:c r="L26" s="8" t="n">
        <x:v>3.88350510597229</x:v>
      </x:c>
      <x:c r="M26" s="8" t="n">
        <x:v>66.6272964477539</x:v>
      </x:c>
      <x:c r="N26" s="8" t="n">
        <x:v>66.60694885253906</x:v>
      </x:c>
      <x:c r="O26" s="8" t="n">
        <x:v>65.240966796875</x:v>
      </x:c>
      <x:c r="P26" s="8" t="n">
        <x:v>-1.214595913887024</x:v>
      </x:c>
      <x:c r="Q26" s="8" t="n">
        <x:v>-0.6078282594680786</x:v>
      </x:c>
      <x:c r="R26" s="8" t="n">
        <x:v>-0.498147189617157</x:v>
      </x:c>
    </x:row>
    <x:row r="27">
      <x:c r="A27" s="8" t="n">
        <x:v>-8</x:v>
      </x:c>
      <x:c r="B27" s="8" t="str">
        <x:v>R01</x:v>
      </x:c>
      <x:c r="C27" s="8" t="n">
        <x:v>3.7760560512542725</x:v>
      </x:c>
      <x:c r="D27" s="8" t="n">
        <x:v>3.7537589073181152</x:v>
      </x:c>
      <x:c r="E27" s="8" t="n">
        <x:v>-3.8196136951446533</x:v>
      </x:c>
      <x:c r="F27" s="8" t="n">
        <x:v>-4.093051910400391</x:v>
      </x:c>
      <x:c r="G27" s="8" t="n">
        <x:v>28.157773971557617</x:v>
      </x:c>
      <x:c r="H27" s="8" t="n">
        <x:v>272.5648498535156</x:v>
      </x:c>
      <x:c r="I27" s="8" t="n">
        <x:v>69.88648223876953</x:v>
      </x:c>
      <x:c r="J27" s="8" t="n">
        <x:v>69.73568725585938</x:v>
      </x:c>
      <x:c r="K27" s="8" t="n">
        <x:v>4.795119285583496</x:v>
      </x:c>
      <x:c r="L27" s="8" t="n">
        <x:v>3.8882148265838623</x:v>
      </x:c>
      <x:c r="M27" s="8" t="n">
        <x:v>66.0042495727539</x:v>
      </x:c>
      <x:c r="N27" s="8" t="n">
        <x:v>65.41073608398438</x:v>
      </x:c>
      <x:c r="O27" s="8" t="n">
        <x:v>63.58142852783203</x:v>
      </x:c>
      <x:c r="P27" s="8" t="n">
        <x:v>-3.099735975265503</x:v>
      </x:c>
      <x:c r="Q27" s="8" t="n">
        <x:v>-3.908245801925659</x:v>
      </x:c>
      <x:c r="R27" s="8" t="n">
        <x:v>-5.052874565124512</x:v>
      </x:c>
    </x:row>
    <x:row r="28">
      <x:c r="A28" s="8" t="n">
        <x:v>-8</x:v>
      </x:c>
      <x:c r="B28" s="8" t="str">
        <x:v>R02</x:v>
      </x:c>
      <x:c r="C28" s="8" t="n">
        <x:v>3.6655826568603516</x:v>
      </x:c>
      <x:c r="D28" s="8" t="n">
        <x:v>3.7895240783691406</x:v>
      </x:c>
      <x:c r="E28" s="8" t="n">
        <x:v>-5.688571929931641</x:v>
      </x:c>
      <x:c r="F28" s="8" t="n">
        <x:v>-5.736644744873047</x:v>
      </x:c>
      <x:c r="G28" s="8" t="n">
        <x:v>21.093830108642578</x:v>
      </x:c>
      <x:c r="H28" s="8" t="n">
        <x:v>279.24017333984375</x:v>
      </x:c>
      <x:c r="I28" s="8" t="n">
        <x:v>69.95682525634766</x:v>
      </x:c>
      <x:c r="J28" s="8" t="n">
        <x:v>69.81681060791016</x:v>
      </x:c>
      <x:c r="K28" s="8" t="n">
        <x:v>4.865464687347412</x:v>
      </x:c>
      <x:c r="L28" s="8" t="n">
        <x:v>3.86348819732666</x:v>
      </x:c>
      <x:c r="M28" s="8" t="n">
        <x:v>66.03831481933594</x:v>
      </x:c>
      <x:c r="N28" s="8" t="n">
        <x:v>65.37085723876953</x:v>
      </x:c>
      <x:c r="O28" s="8" t="n">
        <x:v>63.874900817871094</x:v>
      </x:c>
      <x:c r="P28" s="8" t="n">
        <x:v>-4.229865550994873</x:v>
      </x:c>
      <x:c r="Q28" s="8" t="n">
        <x:v>-6.009754657745361</x:v>
      </x:c>
      <x:c r="R28" s="8" t="n">
        <x:v>-8.32290267944336</x:v>
      </x:c>
    </x:row>
    <x:row r="29">
      <x:c r="A29" s="8" t="n">
        <x:v>-8</x:v>
      </x:c>
      <x:c r="B29" s="8" t="str">
        <x:v>R03</x:v>
      </x:c>
      <x:c r="C29" s="8" t="n">
        <x:v>3.9264330863952637</x:v>
      </x:c>
      <x:c r="D29" s="8" t="n">
        <x:v>3.7716948986053467</x:v>
      </x:c>
      <x:c r="E29" s="8" t="n">
        <x:v>-5.457300186157227</x:v>
      </x:c>
      <x:c r="F29" s="8" t="n">
        <x:v>-5.496486663818359</x:v>
      </x:c>
      <x:c r="G29" s="8" t="n">
        <x:v>22.008365631103516</x:v>
      </x:c>
      <x:c r="H29" s="8" t="n">
        <x:v>296.247802734375</x:v>
      </x:c>
      <x:c r="I29" s="8" t="n">
        <x:v>69.46833038330078</x:v>
      </x:c>
      <x:c r="J29" s="8" t="n">
        <x:v>69.32026672363281</x:v>
      </x:c>
      <x:c r="K29" s="8" t="n">
        <x:v>4.376968860626221</x:v>
      </x:c>
      <x:c r="L29" s="8" t="n">
        <x:v>3.829664945602417</x:v>
      </x:c>
      <x:c r="M29" s="8" t="n">
        <x:v>65.51570129394531</x:v>
      </x:c>
      <x:c r="N29" s="8" t="n">
        <x:v>65.11186981201172</x:v>
      </x:c>
      <x:c r="O29" s="8" t="n">
        <x:v>63.100502014160156</x:v>
      </x:c>
      <x:c r="P29" s="8" t="n">
        <x:v>-4.299997329711914</x:v>
      </x:c>
      <x:c r="Q29" s="8" t="n">
        <x:v>-5.700943946838379</x:v>
      </x:c>
      <x:c r="R29" s="8" t="n">
        <x:v>-7.510340213775635</x:v>
      </x:c>
    </x:row>
    <x:row r="30">
      <x:c r="A30" s="8" t="n">
        <x:v>-8</x:v>
      </x:c>
      <x:c r="B30" s="8" t="str">
        <x:v>R04</x:v>
      </x:c>
      <x:c r="C30" s="8" t="n">
        <x:v>3.8260092735290527</x:v>
      </x:c>
      <x:c r="D30" s="8" t="n">
        <x:v>3.7736170291900635</x:v>
      </x:c>
      <x:c r="E30" s="8" t="n">
        <x:v>-3.9198899269104004</x:v>
      </x:c>
      <x:c r="F30" s="8" t="n">
        <x:v>-4.165200233459473</x:v>
      </x:c>
      <x:c r="G30" s="8" t="n">
        <x:v>28.128253936767578</x:v>
      </x:c>
      <x:c r="H30" s="8" t="n">
        <x:v>272.1327819824219</x:v>
      </x:c>
      <x:c r="I30" s="8" t="n">
        <x:v>69.99577331542969</x:v>
      </x:c>
      <x:c r="J30" s="8" t="n">
        <x:v>69.83504486083984</x:v>
      </x:c>
      <x:c r="K30" s="8" t="n">
        <x:v>4.904409885406494</x:v>
      </x:c>
      <x:c r="L30" s="8" t="n">
        <x:v>3.8020336627960205</x:v>
      </x:c>
      <x:c r="M30" s="8" t="n">
        <x:v>66.18119049072266</x:v>
      </x:c>
      <x:c r="N30" s="8" t="n">
        <x:v>65.53437042236328</x:v>
      </x:c>
      <x:c r="O30" s="8" t="n">
        <x:v>63.54737854003906</x:v>
      </x:c>
      <x:c r="P30" s="8" t="n">
        <x:v>-2.4536285400390625</x:v>
      </x:c>
      <x:c r="Q30" s="8" t="n">
        <x:v>-4.478010177612305</x:v>
      </x:c>
      <x:c r="R30" s="8" t="n">
        <x:v>-6.1979289054870605</x:v>
      </x:c>
    </x:row>
    <x:row r="31">
      <x:c r="A31" s="8" t="n">
        <x:v>-8</x:v>
      </x:c>
      <x:c r="B31" s="8" t="str">
        <x:v>R05</x:v>
      </x:c>
      <x:c r="C31" s="8" t="n">
        <x:v>3.5918192863464355</x:v>
      </x:c>
      <x:c r="D31" s="8" t="n">
        <x:v>3.7842907905578613</x:v>
      </x:c>
      <x:c r="E31" s="8" t="n">
        <x:v>-3.581019878387451</x:v>
      </x:c>
      <x:c r="F31" s="8" t="n">
        <x:v>-3.992086410522461</x:v>
      </x:c>
      <x:c r="G31" s="8" t="n">
        <x:v>28.95044708251953</x:v>
      </x:c>
      <x:c r="H31" s="8" t="n">
        <x:v>268.81866455078125</x:v>
      </x:c>
      <x:c r="I31" s="8" t="n">
        <x:v>70.08241271972656</x:v>
      </x:c>
      <x:c r="J31" s="8" t="n">
        <x:v>69.91761779785156</x:v>
      </x:c>
      <x:c r="K31" s="8" t="n">
        <x:v>4.99105167388916</x:v>
      </x:c>
      <x:c r="L31" s="8" t="n">
        <x:v>3.8356680870056152</x:v>
      </x:c>
      <x:c r="M31" s="8" t="n">
        <x:v>66.35254669189453</x:v>
      </x:c>
      <x:c r="N31" s="8" t="n">
        <x:v>65.48065948486328</x:v>
      </x:c>
      <x:c r="O31" s="8" t="n">
        <x:v>63.69493865966797</x:v>
      </x:c>
      <x:c r="P31" s="8" t="n">
        <x:v>-2.7627077102661133</x:v>
      </x:c>
      <x:c r="Q31" s="8" t="n">
        <x:v>-3.8826661109924316</x:v>
      </x:c>
      <x:c r="R31" s="8" t="n">
        <x:v>-4.740477085113525</x:v>
      </x:c>
    </x:row>
    <x:row r="32">
      <x:c r="A32" s="8" t="n">
        <x:v>-8</x:v>
      </x:c>
      <x:c r="B32" s="8" t="str">
        <x:v>R06</x:v>
      </x:c>
      <x:c r="C32" s="8" t="n">
        <x:v>3.59053111076355</x:v>
      </x:c>
      <x:c r="D32" s="8" t="n">
        <x:v>3.7807412147521973</x:v>
      </x:c>
      <x:c r="E32" s="8" t="n">
        <x:v>-1.259369134902954</x:v>
      </x:c>
      <x:c r="F32" s="8" t="n">
        <x:v>-2.2376558780670166</x:v>
      </x:c>
      <x:c r="G32" s="8" t="n">
        <x:v>38.50390625</x:v>
      </x:c>
      <x:c r="H32" s="8" t="n">
        <x:v>234.37648010253906</x:v>
      </x:c>
      <x:c r="I32" s="8" t="n">
        <x:v>70.84375</x:v>
      </x:c>
      <x:c r="J32" s="8" t="n">
        <x:v>70.70249938964844</x:v>
      </x:c>
      <x:c r="K32" s="8" t="n">
        <x:v>5.752387523651123</x:v>
      </x:c>
      <x:c r="L32" s="8" t="n">
        <x:v>3.813640594482422</x:v>
      </x:c>
      <x:c r="M32" s="8" t="n">
        <x:v>66.89124298095703</x:v>
      </x:c>
      <x:c r="N32" s="8" t="n">
        <x:v>66.36399841308594</x:v>
      </x:c>
      <x:c r="O32" s="8" t="n">
        <x:v>64.66470336914062</x:v>
      </x:c>
      <x:c r="P32" s="8" t="n">
        <x:v>-1.294541835784912</x:v>
      </x:c>
      <x:c r="Q32" s="8" t="n">
        <x:v>-1.2061057090759277</x:v>
      </x:c>
      <x:c r="R32" s="8" t="n">
        <x:v>-1.2791715860366821</x:v>
      </x:c>
    </x:row>
    <x:row r="33">
      <x:c r="A33" s="8" t="n">
        <x:v>-8</x:v>
      </x:c>
      <x:c r="B33" s="8" t="str">
        <x:v>R07</x:v>
      </x:c>
      <x:c r="C33" s="8" t="n">
        <x:v>3.7082996368408203</x:v>
      </x:c>
      <x:c r="D33" s="8" t="n">
        <x:v>3.7834978103637695</x:v>
      </x:c>
      <x:c r="E33" s="8" t="n">
        <x:v>-0.5095223784446716</x:v>
      </x:c>
      <x:c r="F33" s="8" t="n">
        <x:v>-1.2733943462371826</x:v>
      </x:c>
      <x:c r="G33" s="8" t="n">
        <x:v>42.8510856628418</x:v>
      </x:c>
      <x:c r="H33" s="8" t="n">
        <x:v>221.19381713867188</x:v>
      </x:c>
      <x:c r="I33" s="8" t="n">
        <x:v>70.97575378417969</x:v>
      </x:c>
      <x:c r="J33" s="8" t="n">
        <x:v>70.85862731933594</x:v>
      </x:c>
      <x:c r="K33" s="8" t="n">
        <x:v>5.884392261505127</x:v>
      </x:c>
      <x:c r="L33" s="8" t="n">
        <x:v>3.817216634750366</x:v>
      </x:c>
      <x:c r="M33" s="8" t="n">
        <x:v>66.77483367919922</x:v>
      </x:c>
      <x:c r="N33" s="8" t="n">
        <x:v>66.63262939453125</x:v>
      </x:c>
      <x:c r="O33" s="8" t="n">
        <x:v>64.99024963378906</x:v>
      </x:c>
      <x:c r="P33" s="8" t="n">
        <x:v>-0.4577849805355072</x:v>
      </x:c>
      <x:c r="Q33" s="8" t="n">
        <x:v>-0.5572178959846497</x:v>
      </x:c>
      <x:c r="R33" s="8" t="n">
        <x:v>-0.5176578760147095</x:v>
      </x:c>
    </x:row>
    <x:row r="34">
      <x:c r="A34" s="8" t="n">
        <x:v>-8</x:v>
      </x:c>
      <x:c r="B34" s="8" t="str">
        <x:v>R08</x:v>
      </x:c>
      <x:c r="C34" s="8" t="n">
        <x:v>3.5892059803009033</x:v>
      </x:c>
      <x:c r="D34" s="8" t="n">
        <x:v>3.7715036869049072</x:v>
      </x:c>
      <x:c r="E34" s="8" t="n">
        <x:v>-0.33188876509666443</x:v>
      </x:c>
      <x:c r="F34" s="8" t="n">
        <x:v>-0.882631242275238</x:v>
      </x:c>
      <x:c r="G34" s="8" t="n">
        <x:v>45.04887771606445</x:v>
      </x:c>
      <x:c r="H34" s="8" t="n">
        <x:v>214.3182373046875</x:v>
      </x:c>
      <x:c r="I34" s="8" t="n">
        <x:v>71.22506713867188</x:v>
      </x:c>
      <x:c r="J34" s="8" t="n">
        <x:v>71.10894012451172</x:v>
      </x:c>
      <x:c r="K34" s="8" t="n">
        <x:v>6.133707046508789</x:v>
      </x:c>
      <x:c r="L34" s="8" t="n">
        <x:v>3.858470916748047</x:v>
      </x:c>
      <x:c r="M34" s="8" t="n">
        <x:v>67.07012176513672</x:v>
      </x:c>
      <x:c r="N34" s="8" t="n">
        <x:v>66.76042938232422</x:v>
      </x:c>
      <x:c r="O34" s="8" t="n">
        <x:v>65.3434829711914</x:v>
      </x:c>
      <x:c r="P34" s="8" t="n">
        <x:v>-0.35123589634895325</x:v>
      </x:c>
      <x:c r="Q34" s="8" t="n">
        <x:v>-0.20180532336235046</x:v>
      </x:c>
      <x:c r="R34" s="8" t="n">
        <x:v>-0.4844566583633423</x:v>
      </x:c>
    </x:row>
    <x:row r="35">
      <x:c r="A35" s="8" t="n">
        <x:v>-8</x:v>
      </x:c>
      <x:c r="B35" s="8" t="str">
        <x:v>R09</x:v>
      </x:c>
      <x:c r="C35" s="8" t="n">
        <x:v>3.6128673553466797</x:v>
      </x:c>
      <x:c r="D35" s="8" t="n">
        <x:v>3.810415506362915</x:v>
      </x:c>
      <x:c r="E35" s="8" t="n">
        <x:v>-0.8281029462814331</x:v>
      </x:c>
      <x:c r="F35" s="8" t="n">
        <x:v>-1.8795825242996216</x:v>
      </x:c>
      <x:c r="G35" s="8" t="n">
        <x:v>40.788272857666016</x:v>
      </x:c>
      <x:c r="H35" s="8" t="n">
        <x:v>229.62559509277344</x:v>
      </x:c>
      <x:c r="I35" s="8" t="n">
        <x:v>70.92289733886719</x:v>
      </x:c>
      <x:c r="J35" s="8" t="n">
        <x:v>70.78356170654297</x:v>
      </x:c>
      <x:c r="K35" s="8" t="n">
        <x:v>5.831536769866943</x:v>
      </x:c>
      <x:c r="L35" s="8" t="n">
        <x:v>3.833803653717041</x:v>
      </x:c>
      <x:c r="M35" s="8" t="n">
        <x:v>66.97023010253906</x:v>
      </x:c>
      <x:c r="N35" s="8" t="n">
        <x:v>66.40836334228516</x:v>
      </x:c>
      <x:c r="O35" s="8" t="n">
        <x:v>64.79507446289062</x:v>
      </x:c>
      <x:c r="P35" s="8" t="n">
        <x:v>-0.7445281147956848</x:v>
      </x:c>
      <x:c r="Q35" s="8" t="n">
        <x:v>-0.8584683537483215</x:v>
      </x:c>
      <x:c r="R35" s="8" t="n">
        <x:v>-0.9210750460624695</x:v>
      </x:c>
    </x:row>
    <x:row r="36">
      <x:c r="A36" s="8" t="n">
        <x:v>-8</x:v>
      </x:c>
      <x:c r="B36" s="8" t="str">
        <x:v>R10</x:v>
      </x:c>
      <x:c r="C36" s="8" t="n">
        <x:v>3.6972739696502686</x:v>
      </x:c>
      <x:c r="D36" s="8" t="n">
        <x:v>3.7409448623657227</x:v>
      </x:c>
      <x:c r="E36" s="8" t="n">
        <x:v>-1.7416201829910278</x:v>
      </x:c>
      <x:c r="F36" s="8" t="n">
        <x:v>-2.7765097618103027</x:v>
      </x:c>
      <x:c r="G36" s="8" t="n">
        <x:v>34.74674987792969</x:v>
      </x:c>
      <x:c r="H36" s="8" t="n">
        <x:v>255.43228149414062</x:v>
      </x:c>
      <x:c r="I36" s="8" t="n">
        <x:v>70.34720611572266</x:v>
      </x:c>
      <x:c r="J36" s="8" t="n">
        <x:v>70.21355438232422</x:v>
      </x:c>
      <x:c r="K36" s="8" t="n">
        <x:v>5.255845069885254</x:v>
      </x:c>
      <x:c r="L36" s="8" t="n">
        <x:v>3.8092026710510254</x:v>
      </x:c>
      <x:c r="M36" s="8" t="n">
        <x:v>66.29200744628906</x:v>
      </x:c>
      <x:c r="N36" s="8" t="n">
        <x:v>65.97161102294922</x:v>
      </x:c>
      <x:c r="O36" s="8" t="n">
        <x:v>64.18171691894531</x:v>
      </x:c>
      <x:c r="P36" s="8" t="n">
        <x:v>-1.9581626653671265</x:v>
      </x:c>
      <x:c r="Q36" s="8" t="n">
        <x:v>-1.6946594715118408</x:v>
      </x:c>
      <x:c r="R36" s="8" t="n">
        <x:v>-1.4632576704025269</x:v>
      </x:c>
    </x:row>
    <x:row r="37">
      <x:c r="A37" s="8" t="n">
        <x:v>-8</x:v>
      </x:c>
      <x:c r="B37" s="8" t="str">
        <x:v>R11</x:v>
      </x:c>
      <x:c r="C37" s="8" t="n">
        <x:v>3.70805025100708</x:v>
      </x:c>
      <x:c r="D37" s="8" t="n">
        <x:v>3.766221046447754</x:v>
      </x:c>
      <x:c r="E37" s="8" t="n">
        <x:v>-0.3716680109500885</x:v>
      </x:c>
      <x:c r="F37" s="8" t="n">
        <x:v>-2.073976516723633</x:v>
      </x:c>
      <x:c r="G37" s="8" t="n">
        <x:v>39.319889068603516</x:v>
      </x:c>
      <x:c r="H37" s="8" t="n">
        <x:v>237.2305908203125</x:v>
      </x:c>
      <x:c r="I37" s="8" t="n">
        <x:v>71.18240356445312</x:v>
      </x:c>
      <x:c r="J37" s="8" t="n">
        <x:v>71.08906555175781</x:v>
      </x:c>
      <x:c r="K37" s="8" t="n">
        <x:v>6.091041088104248</x:v>
      </x:c>
      <x:c r="L37" s="8" t="n">
        <x:v>3.8647007942199707</x:v>
      </x:c>
      <x:c r="M37" s="8" t="n">
        <x:v>66.75947570800781</x:v>
      </x:c>
      <x:c r="N37" s="8" t="n">
        <x:v>66.89057159423828</x:v>
      </x:c>
      <x:c r="O37" s="8" t="n">
        <x:v>65.4410171508789</x:v>
      </x:c>
      <x:c r="P37" s="8" t="n">
        <x:v>-0.7747300863265991</x:v>
      </x:c>
      <x:c r="Q37" s="8" t="n">
        <x:v>-0.2318810671567917</x:v>
      </x:c>
      <x:c r="R37" s="8" t="n">
        <x:v>-0.02107485942542553</x:v>
      </x:c>
    </x:row>
    <x:row r="38">
      <x:c r="A38" s="8" t="n">
        <x:v>-8</x:v>
      </x:c>
      <x:c r="B38" s="8" t="str">
        <x:v>R12</x:v>
      </x:c>
      <x:c r="C38" s="8" t="n">
        <x:v>3.7078535556793213</x:v>
      </x:c>
      <x:c r="D38" s="8" t="n">
        <x:v>3.7776529788970947</x:v>
      </x:c>
      <x:c r="E38" s="8" t="n">
        <x:v>0.15381598472595215</x:v>
      </x:c>
      <x:c r="F38" s="8" t="n">
        <x:v>-1.2255600690841675</x:v>
      </x:c>
      <x:c r="G38" s="8" t="n">
        <x:v>44.31760787963867</x:v>
      </x:c>
      <x:c r="H38" s="8" t="n">
        <x:v>230.3389892578125</x:v>
      </x:c>
      <x:c r="I38" s="8" t="n">
        <x:v>71.28986358642578</x:v>
      </x:c>
      <x:c r="J38" s="8" t="n">
        <x:v>71.1827621459961</x:v>
      </x:c>
      <x:c r="K38" s="8" t="n">
        <x:v>6.1985015869140625</x:v>
      </x:c>
      <x:c r="L38" s="8" t="n">
        <x:v>3.810476303100586</x:v>
      </x:c>
      <x:c r="M38" s="8" t="n">
        <x:v>66.97702026367188</x:v>
      </x:c>
      <x:c r="N38" s="8" t="n">
        <x:v>67.01081085205078</x:v>
      </x:c>
      <x:c r="O38" s="8" t="n">
        <x:v>65.37617492675781</x:v>
      </x:c>
      <x:c r="P38" s="8" t="n">
        <x:v>-0.30257201194763184</x:v>
      </x:c>
      <x:c r="Q38" s="8" t="n">
        <x:v>0.29655346274375916</x:v>
      </x:c>
      <x:c r="R38" s="8" t="n">
        <x:v>0.6126331090927124</x:v>
      </x:c>
    </x:row>
    <x:row r="39">
      <x:c r="A39" s="8" t="n">
        <x:v>-8</x:v>
      </x:c>
      <x:c r="B39" s="8" t="str">
        <x:v>R13</x:v>
      </x:c>
      <x:c r="C39" s="8" t="n">
        <x:v>3.7249879837036133</x:v>
      </x:c>
      <x:c r="D39" s="8" t="n">
        <x:v>3.7878081798553467</x:v>
      </x:c>
      <x:c r="E39" s="8" t="n">
        <x:v>0.12758290767669678</x:v>
      </x:c>
      <x:c r="F39" s="8" t="n">
        <x:v>-1.1541554927825928</x:v>
      </x:c>
      <x:c r="G39" s="8" t="n">
        <x:v>44.59717559814453</x:v>
      </x:c>
      <x:c r="H39" s="8" t="n">
        <x:v>229.7139892578125</x:v>
      </x:c>
      <x:c r="I39" s="8" t="n">
        <x:v>71.30692291259766</x:v>
      </x:c>
      <x:c r="J39" s="8" t="n">
        <x:v>71.20713806152344</x:v>
      </x:c>
      <x:c r="K39" s="8" t="n">
        <x:v>6.215561866760254</x:v>
      </x:c>
      <x:c r="L39" s="8" t="n">
        <x:v>3.8264787197113037</x:v>
      </x:c>
      <x:c r="M39" s="8" t="n">
        <x:v>67.0542221069336</x:v>
      </x:c>
      <x:c r="N39" s="8" t="n">
        <x:v>66.7624740600586</x:v>
      </x:c>
      <x:c r="O39" s="8" t="n">
        <x:v>65.67168426513672</x:v>
      </x:c>
      <x:c r="P39" s="8" t="n">
        <x:v>-0.3554035425186157</x:v>
      </x:c>
      <x:c r="Q39" s="8" t="n">
        <x:v>-0.14161737263202667</x:v>
      </x:c>
      <x:c r="R39" s="8" t="n">
        <x:v>1.1483831405639648</x:v>
      </x:c>
    </x:row>
    <x:row r="40">
      <x:c r="A40" s="8" t="n">
        <x:v>-8</x:v>
      </x:c>
      <x:c r="B40" s="8" t="str">
        <x:v>R14</x:v>
      </x:c>
      <x:c r="C40" s="8" t="n">
        <x:v>3.6452462673187256</x:v>
      </x:c>
      <x:c r="D40" s="8" t="n">
        <x:v>3.762901544570923</x:v>
      </x:c>
      <x:c r="E40" s="8" t="n">
        <x:v>-0.2316773682832718</x:v>
      </x:c>
      <x:c r="F40" s="8" t="n">
        <x:v>-1.8553171157836914</x:v>
      </x:c>
      <x:c r="G40" s="8" t="n">
        <x:v>40.220760345458984</x:v>
      </x:c>
      <x:c r="H40" s="8" t="n">
        <x:v>233.8705291748047</x:v>
      </x:c>
      <x:c r="I40" s="8" t="n">
        <x:v>71.37312316894531</x:v>
      </x:c>
      <x:c r="J40" s="8" t="n">
        <x:v>71.24867248535156</x:v>
      </x:c>
      <x:c r="K40" s="8" t="n">
        <x:v>6.281754493713379</x:v>
      </x:c>
      <x:c r="L40" s="8" t="n">
        <x:v>3.743251085281372</x:v>
      </x:c>
      <x:c r="M40" s="8" t="n">
        <x:v>67.27523040771484</x:v>
      </x:c>
      <x:c r="N40" s="8" t="n">
        <x:v>66.92912292480469</x:v>
      </x:c>
      <x:c r="O40" s="8" t="n">
        <x:v>65.3758316040039</x:v>
      </x:c>
      <x:c r="P40" s="8" t="n">
        <x:v>-0.32004448771476746</x:v>
      </x:c>
      <x:c r="Q40" s="8" t="n">
        <x:v>-0.26301902532577515</x:v>
      </x:c>
      <x:c r="R40" s="8" t="n">
        <x:v>-0.048990603536367416</x:v>
      </x:c>
    </x:row>
    <x:row r="41">
      <x:c r="A41" s="8" t="n">
        <x:v>-8</x:v>
      </x:c>
      <x:c r="B41" s="8" t="str">
        <x:v>R15</x:v>
      </x:c>
      <x:c r="C41" s="8" t="n">
        <x:v>3.661100149154663</x:v>
      </x:c>
      <x:c r="D41" s="8" t="n">
        <x:v>3.7774643898010254</x:v>
      </x:c>
      <x:c r="E41" s="8" t="n">
        <x:v>-1.003124475479126</x:v>
      </x:c>
      <x:c r="F41" s="8" t="n">
        <x:v>-2.9528770446777344</x:v>
      </x:c>
      <x:c r="G41" s="8" t="n">
        <x:v>35.51502990722656</x:v>
      </x:c>
      <x:c r="H41" s="8" t="n">
        <x:v>249.9387664794922</x:v>
      </x:c>
      <x:c r="I41" s="8" t="n">
        <x:v>70.88267517089844</x:v>
      </x:c>
      <x:c r="J41" s="8" t="n">
        <x:v>70.75675201416016</x:v>
      </x:c>
      <x:c r="K41" s="8" t="n">
        <x:v>5.791308403015137</x:v>
      </x:c>
      <x:c r="L41" s="8" t="n">
        <x:v>3.790729522705078</x:v>
      </x:c>
      <x:c r="M41" s="8" t="n">
        <x:v>66.7848129272461</x:v>
      </x:c>
      <x:c r="N41" s="8" t="n">
        <x:v>66.46572875976562</x:v>
      </x:c>
      <x:c r="O41" s="8" t="n">
        <x:v>64.84640502929688</x:v>
      </x:c>
      <x:c r="P41" s="8" t="n">
        <x:v>-1.1391521692276</x:v>
      </x:c>
      <x:c r="Q41" s="8" t="n">
        <x:v>-1.0914859771728516</x:v>
      </x:c>
      <x:c r="R41" s="8" t="n">
        <x:v>-0.6622451543807983</x:v>
      </x:c>
    </x:row>
    <x:row r="42">
      <x:c r="A42" s="8" t="n">
        <x:v>-8</x:v>
      </x:c>
      <x:c r="B42" s="8" t="str">
        <x:v>R16</x:v>
      </x:c>
      <x:c r="C42" s="8" t="n">
        <x:v>3.6685874462127686</x:v>
      </x:c>
      <x:c r="D42" s="8" t="n">
        <x:v>3.8181469440460205</x:v>
      </x:c>
      <x:c r="E42" s="8" t="n">
        <x:v>-0.685152530670166</x:v>
      </x:c>
      <x:c r="F42" s="8" t="n">
        <x:v>-2.0459277629852295</x:v>
      </x:c>
      <x:c r="G42" s="8" t="n">
        <x:v>39.76642608642578</x:v>
      </x:c>
      <x:c r="H42" s="8" t="n">
        <x:v>256.0774841308594</x:v>
      </x:c>
      <x:c r="I42" s="8" t="n">
        <x:v>71.13812255859375</x:v>
      </x:c>
      <x:c r="J42" s="8" t="n">
        <x:v>71.01319122314453</x:v>
      </x:c>
      <x:c r="K42" s="8" t="n">
        <x:v>6.046757221221924</x:v>
      </x:c>
      <x:c r="L42" s="8" t="n">
        <x:v>3.802828073501587</x:v>
      </x:c>
      <x:c r="M42" s="8" t="n">
        <x:v>67.04985809326172</x:v>
      </x:c>
      <x:c r="N42" s="8" t="n">
        <x:v>66.68083953857422</x:v>
      </x:c>
      <x:c r="O42" s="8" t="n">
        <x:v>65.1448974609375</x:v>
      </x:c>
      <x:c r="P42" s="8" t="n">
        <x:v>-0.7784879803657532</x:v>
      </x:c>
      <x:c r="Q42" s="8" t="n">
        <x:v>-0.8745049834251404</x:v>
      </x:c>
      <x:c r="R42" s="8" t="n">
        <x:v>-0.26982012391090393</x:v>
      </x:c>
    </x:row>
    <x:row r="43">
      <x:c r="A43" s="8" t="n">
        <x:v>-8</x:v>
      </x:c>
      <x:c r="B43" s="8" t="str">
        <x:v>R17</x:v>
      </x:c>
      <x:c r="C43" s="8" t="n">
        <x:v>3.8062758445739746</x:v>
      </x:c>
      <x:c r="D43" s="8" t="n">
        <x:v>3.8805344104766846</x:v>
      </x:c>
      <x:c r="E43" s="8" t="n">
        <x:v>-0.21460804343223572</x:v>
      </x:c>
      <x:c r="F43" s="8" t="n">
        <x:v>-1.7844901084899902</x:v>
      </x:c>
      <x:c r="G43" s="8" t="n">
        <x:v>41.405738830566406</x:v>
      </x:c>
      <x:c r="H43" s="8" t="n">
        <x:v>255.35548400878906</x:v>
      </x:c>
      <x:c r="I43" s="8" t="n">
        <x:v>70.93650817871094</x:v>
      </x:c>
      <x:c r="J43" s="8" t="n">
        <x:v>70.82838439941406</x:v>
      </x:c>
      <x:c r="K43" s="8" t="n">
        <x:v>5.845146656036377</x:v>
      </x:c>
      <x:c r="L43" s="8" t="n">
        <x:v>3.8616809844970703</x:v>
      </x:c>
      <x:c r="M43" s="8" t="n">
        <x:v>66.65797424316406</x:v>
      </x:c>
      <x:c r="N43" s="8" t="n">
        <x:v>66.6021499633789</x:v>
      </x:c>
      <x:c r="O43" s="8" t="n">
        <x:v>65.05299377441406</x:v>
      </x:c>
      <x:c r="P43" s="8" t="n">
        <x:v>-0.4970005750656128</x:v>
      </x:c>
      <x:c r="Q43" s="8" t="n">
        <x:v>-0.32405567169189453</x:v>
      </x:c>
      <x:c r="R43" s="8" t="n">
        <x:v>0.35437673330307007</x:v>
      </x:c>
    </x:row>
    <x:row r="44">
      <x:c r="A44" s="8" t="n">
        <x:v>-8</x:v>
      </x:c>
      <x:c r="B44" s="8" t="str">
        <x:v>R18</x:v>
      </x:c>
      <x:c r="C44" s="8" t="n">
        <x:v>3.7731435298919678</x:v>
      </x:c>
      <x:c r="D44" s="8" t="n">
        <x:v>3.8606958389282227</x:v>
      </x:c>
      <x:c r="E44" s="8" t="n">
        <x:v>-0.3842151463031769</x:v>
      </x:c>
      <x:c r="F44" s="8" t="n">
        <x:v>-2.412806749343872</x:v>
      </x:c>
      <x:c r="G44" s="8" t="n">
        <x:v>37.80418014526367</x:v>
      </x:c>
      <x:c r="H44" s="8" t="n">
        <x:v>250.39320373535156</x:v>
      </x:c>
      <x:c r="I44" s="8" t="n">
        <x:v>71.06105041503906</x:v>
      </x:c>
      <x:c r="J44" s="8" t="n">
        <x:v>70.95096588134766</x:v>
      </x:c>
      <x:c r="K44" s="8" t="n">
        <x:v>5.969688892364502</x:v>
      </x:c>
      <x:c r="L44" s="8" t="n">
        <x:v>3.858161211013794</x:v>
      </x:c>
      <x:c r="M44" s="8" t="n">
        <x:v>66.90853881835938</x:v>
      </x:c>
      <x:c r="N44" s="8" t="n">
        <x:v>66.47819519042969</x:v>
      </x:c>
      <x:c r="O44" s="8" t="n">
        <x:v>65.33466339111328</x:v>
      </x:c>
      <x:c r="P44" s="8" t="n">
        <x:v>-0.4116809368133545</x:v>
      </x:c>
      <x:c r="Q44" s="8" t="n">
        <x:v>-0.6361096501350403</x:v>
      </x:c>
      <x:c r="R44" s="8" t="n">
        <x:v>-0.013811913318932056</x:v>
      </x:c>
    </x:row>
    <x:row r="45">
      <x:c r="A45" s="8" t="n">
        <x:v>-8</x:v>
      </x:c>
      <x:c r="B45" s="8" t="str">
        <x:v>R19</x:v>
      </x:c>
      <x:c r="C45" s="8" t="n">
        <x:v>3.754990339279175</x:v>
      </x:c>
      <x:c r="D45" s="8" t="n">
        <x:v>3.787872552871704</x:v>
      </x:c>
      <x:c r="E45" s="8" t="n">
        <x:v>-0.2642223834991455</x:v>
      </x:c>
      <x:c r="F45" s="8" t="n">
        <x:v>-1.7701935768127441</x:v>
      </x:c>
      <x:c r="G45" s="8" t="n">
        <x:v>40.582820892333984</x:v>
      </x:c>
      <x:c r="H45" s="8" t="n">
        <x:v>251.51187133789062</x:v>
      </x:c>
      <x:c r="I45" s="8" t="n">
        <x:v>71.31171417236328</x:v>
      </x:c>
      <x:c r="J45" s="8" t="n">
        <x:v>71.18388366699219</x:v>
      </x:c>
      <x:c r="K45" s="8" t="n">
        <x:v>6.220350742340088</x:v>
      </x:c>
      <x:c r="L45" s="8" t="n">
        <x:v>3.7630274295806885</x:v>
      </x:c>
      <x:c r="M45" s="8" t="n">
        <x:v>67.24066162109375</x:v>
      </x:c>
      <x:c r="N45" s="8" t="n">
        <x:v>66.86735534667969</x:v>
      </x:c>
      <x:c r="O45" s="8" t="n">
        <x:v>65.27308654785156</x:v>
      </x:c>
      <x:c r="P45" s="8" t="n">
        <x:v>-0.3869934678077698</x:v>
      </x:c>
      <x:c r="Q45" s="8" t="n">
        <x:v>-0.3494894206523895</x:v>
      </x:c>
      <x:c r="R45" s="8" t="n">
        <x:v>0.0517195388674736</x:v>
      </x:c>
    </x:row>
    <x:row r="46">
      <x:c r="A46" s="8" t="n">
        <x:v>-8</x:v>
      </x:c>
      <x:c r="B46" s="8" t="str">
        <x:v>R20</x:v>
      </x:c>
      <x:c r="C46" s="8" t="n">
        <x:v>3.812281608581543</x:v>
      </x:c>
      <x:c r="D46" s="8" t="n">
        <x:v>3.8510444164276123</x:v>
      </x:c>
      <x:c r="E46" s="8" t="n">
        <x:v>-0.30029040575027466</x:v>
      </x:c>
      <x:c r="F46" s="8" t="n">
        <x:v>-1.6331872940063477</x:v>
      </x:c>
      <x:c r="G46" s="8" t="n">
        <x:v>42.16324234008789</x:v>
      </x:c>
      <x:c r="H46" s="8" t="n">
        <x:v>256.6966857910156</x:v>
      </x:c>
      <x:c r="I46" s="8" t="n">
        <x:v>70.7628173828125</x:v>
      </x:c>
      <x:c r="J46" s="8" t="n">
        <x:v>70.64812469482422</x:v>
      </x:c>
      <x:c r="K46" s="8" t="n">
        <x:v>5.671451091766357</x:v>
      </x:c>
      <x:c r="L46" s="8" t="n">
        <x:v>3.844613790512085</x:v>
      </x:c>
      <x:c r="M46" s="8" t="n">
        <x:v>66.55464935302734</x:v>
      </x:c>
      <x:c r="N46" s="8" t="n">
        <x:v>66.3920669555664</x:v>
      </x:c>
      <x:c r="O46" s="8" t="n">
        <x:v>64.8281021118164</x:v>
      </x:c>
      <x:c r="P46" s="8" t="n">
        <x:v>-0.8006014823913574</x:v>
      </x:c>
      <x:c r="Q46" s="8" t="n">
        <x:v>-0.377678245306015</x:v>
      </x:c>
      <x:c r="R46" s="8" t="n">
        <x:v>0.5613111853599548</x:v>
      </x:c>
    </x:row>
    <x:row r="47">
      <x:c r="A47" s="8" t="n">
        <x:v>-8</x:v>
      </x:c>
      <x:c r="B47" s="8" t="str">
        <x:v>R21</x:v>
      </x:c>
      <x:c r="C47" s="8" t="n">
        <x:v>3.81250262260437</x:v>
      </x:c>
      <x:c r="D47" s="8" t="n">
        <x:v>3.875676155090332</x:v>
      </x:c>
      <x:c r="E47" s="8" t="n">
        <x:v>-0.9432291984558105</x:v>
      </x:c>
      <x:c r="F47" s="8" t="n">
        <x:v>-1.9897127151489258</x:v>
      </x:c>
      <x:c r="G47" s="8" t="n">
        <x:v>40.14530944824219</x:v>
      </x:c>
      <x:c r="H47" s="8" t="n">
        <x:v>272.4925842285156</x:v>
      </x:c>
      <x:c r="I47" s="8" t="n">
        <x:v>71.02960968017578</x:v>
      </x:c>
      <x:c r="J47" s="8" t="n">
        <x:v>70.91610717773438</x:v>
      </x:c>
      <x:c r="K47" s="8" t="n">
        <x:v>5.938246250152588</x:v>
      </x:c>
      <x:c r="L47" s="8" t="n">
        <x:v>3.863440752029419</x:v>
      </x:c>
      <x:c r="M47" s="8" t="n">
        <x:v>66.85484313964844</x:v>
      </x:c>
      <x:c r="N47" s="8" t="n">
        <x:v>66.56199645996094</x:v>
      </x:c>
      <x:c r="O47" s="8" t="n">
        <x:v>65.18145751953125</x:v>
      </x:c>
      <x:c r="P47" s="8" t="n">
        <x:v>-0.8195770978927612</x:v>
      </x:c>
      <x:c r="Q47" s="8" t="n">
        <x:v>-1.4516538381576538</x:v>
      </x:c>
      <x:c r="R47" s="8" t="n">
        <x:v>-0.43463829159736633</x:v>
      </x:c>
    </x:row>
    <x:row r="48">
      <x:c r="A48" s="8" t="n">
        <x:v>-8</x:v>
      </x:c>
      <x:c r="B48" s="8" t="str">
        <x:v>R22</x:v>
      </x:c>
      <x:c r="C48" s="8" t="n">
        <x:v>3.663259983062744</x:v>
      </x:c>
      <x:c r="D48" s="8" t="n">
        <x:v>3.883981227874756</x:v>
      </x:c>
      <x:c r="E48" s="8" t="n">
        <x:v>-0.3585452139377594</x:v>
      </x:c>
      <x:c r="F48" s="8" t="n">
        <x:v>-1.8615901470184326</x:v>
      </x:c>
      <x:c r="G48" s="8" t="n">
        <x:v>41.47662353515625</x:v>
      </x:c>
      <x:c r="H48" s="8" t="n">
        <x:v>255.9495391845703</x:v>
      </x:c>
      <x:c r="I48" s="8" t="n">
        <x:v>71.34471893310547</x:v>
      </x:c>
      <x:c r="J48" s="8" t="n">
        <x:v>71.24392700195312</x:v>
      </x:c>
      <x:c r="K48" s="8" t="n">
        <x:v>6.253354072570801</x:v>
      </x:c>
      <x:c r="L48" s="8" t="n">
        <x:v>3.8753647804260254</x:v>
      </x:c>
      <x:c r="M48" s="8" t="n">
        <x:v>67.1087875366211</x:v>
      </x:c>
      <x:c r="N48" s="8" t="n">
        <x:v>66.78047943115234</x:v>
      </x:c>
      <x:c r="O48" s="8" t="n">
        <x:v>65.71171569824219</x:v>
      </x:c>
      <x:c r="P48" s="8" t="n">
        <x:v>-0.4937133491039276</x:v>
      </x:c>
      <x:c r="Q48" s="8" t="n">
        <x:v>-0.9359129667282104</x:v>
      </x:c>
      <x:c r="R48" s="8" t="n">
        <x:v>0.5673155784606934</x:v>
      </x:c>
    </x:row>
    <x:row r="49">
      <x:c r="A49" s="8" t="n">
        <x:v>-8</x:v>
      </x:c>
      <x:c r="B49" s="8" t="str">
        <x:v>R23</x:v>
      </x:c>
      <x:c r="C49" s="8" t="n">
        <x:v>3.585075855255127</x:v>
      </x:c>
      <x:c r="D49" s="8" t="n">
        <x:v>3.9038100242614746</x:v>
      </x:c>
      <x:c r="E49" s="8" t="n">
        <x:v>-0.47465619444847107</x:v>
      </x:c>
      <x:c r="F49" s="8" t="n">
        <x:v>-2.0613913536071777</x:v>
      </x:c>
      <x:c r="G49" s="8" t="n">
        <x:v>40.027042388916016</x:v>
      </x:c>
      <x:c r="H49" s="8" t="n">
        <x:v>257.14691162109375</x:v>
      </x:c>
      <x:c r="I49" s="8" t="n">
        <x:v>71.35821533203125</x:v>
      </x:c>
      <x:c r="J49" s="8" t="n">
        <x:v>71.25836944580078</x:v>
      </x:c>
      <x:c r="K49" s="8" t="n">
        <x:v>6.266848564147949</x:v>
      </x:c>
      <x:c r="L49" s="8" t="n">
        <x:v>3.8527019023895264</x:v>
      </x:c>
      <x:c r="M49" s="8" t="n">
        <x:v>67.05217742919922</x:v>
      </x:c>
      <x:c r="N49" s="8" t="n">
        <x:v>66.9343032836914</x:v>
      </x:c>
      <x:c r="O49" s="8" t="n">
        <x:v>65.63789367675781</x:v>
      </x:c>
      <x:c r="P49" s="8" t="n">
        <x:v>-0.7191663980484009</x:v>
      </x:c>
      <x:c r="Q49" s="8" t="n">
        <x:v>-0.47399210929870605</x:v>
      </x:c>
      <x:c r="R49" s="8" t="n">
        <x:v>-0.1378900557756424</x:v>
      </x:c>
    </x:row>
    <x:row r="50">
      <x:c r="A50" s="8" t="n">
        <x:v>-8</x:v>
      </x:c>
      <x:c r="B50" s="8" t="str">
        <x:v>R24</x:v>
      </x:c>
      <x:c r="C50" s="8" t="n">
        <x:v>3.788104295730591</x:v>
      </x:c>
      <x:c r="D50" s="8" t="n">
        <x:v>3.880398750305176</x:v>
      </x:c>
      <x:c r="E50" s="8" t="n">
        <x:v>-0.7539613246917725</x:v>
      </x:c>
      <x:c r="F50" s="8" t="n">
        <x:v>-2.3139500617980957</x:v>
      </x:c>
      <x:c r="G50" s="8" t="n">
        <x:v>38.46250915527344</x:v>
      </x:c>
      <x:c r="H50" s="8" t="n">
        <x:v>263.7122497558594</x:v>
      </x:c>
      <x:c r="I50" s="8" t="n">
        <x:v>71.14093017578125</x:v>
      </x:c>
      <x:c r="J50" s="8" t="n">
        <x:v>71.02661895751953</x:v>
      </x:c>
      <x:c r="K50" s="8" t="n">
        <x:v>6.049571990966797</x:v>
      </x:c>
      <x:c r="L50" s="8" t="n">
        <x:v>3.8570187091827393</x:v>
      </x:c>
      <x:c r="M50" s="8" t="n">
        <x:v>66.96377563476562</x:v>
      </x:c>
      <x:c r="N50" s="8" t="n">
        <x:v>66.69377136230469</x:v>
      </x:c>
      <x:c r="O50" s="8" t="n">
        <x:v>65.26806640625</x:v>
      </x:c>
      <x:c r="P50" s="8" t="n">
        <x:v>-0.9117147326469421</x:v>
      </x:c>
      <x:c r="Q50" s="8" t="n">
        <x:v>-0.7955214977264404</x:v>
      </x:c>
      <x:c r="R50" s="8" t="n">
        <x:v>-0.464204877614975</x:v>
      </x:c>
    </x:row>
    <x:row r="51">
      <x:c r="A51" s="8" t="n">
        <x:v>-8</x:v>
      </x:c>
      <x:c r="B51" s="8" t="str">
        <x:v>R25</x:v>
      </x:c>
      <x:c r="C51" s="8" t="n">
        <x:v>3.766491413116455</x:v>
      </x:c>
      <x:c r="D51" s="8" t="n">
        <x:v>3.8662843704223633</x:v>
      </x:c>
      <x:c r="E51" s="8" t="n">
        <x:v>-0.4826745390892029</x:v>
      </x:c>
      <x:c r="F51" s="8" t="n">
        <x:v>-1.4845850467681885</x:v>
      </x:c>
      <x:c r="G51" s="8" t="n">
        <x:v>43.74189376831055</x:v>
      </x:c>
      <x:c r="H51" s="8" t="n">
        <x:v>266.6919250488281</x:v>
      </x:c>
      <x:c r="I51" s="8" t="n">
        <x:v>70.8876724243164</x:v>
      </x:c>
      <x:c r="J51" s="8" t="n">
        <x:v>70.76533508300781</x:v>
      </x:c>
      <x:c r="K51" s="8" t="n">
        <x:v>5.796313285827637</x:v>
      </x:c>
      <x:c r="L51" s="8" t="n">
        <x:v>3.8161849975585938</x:v>
      </x:c>
      <x:c r="M51" s="8" t="n">
        <x:v>66.7466812133789</x:v>
      </x:c>
      <x:c r="N51" s="8" t="n">
        <x:v>66.50431823730469</x:v>
      </x:c>
      <x:c r="O51" s="8" t="n">
        <x:v>64.8694839477539</x:v>
      </x:c>
      <x:c r="P51" s="8" t="n">
        <x:v>-0.6131250858306885</x:v>
      </x:c>
      <x:c r="Q51" s="8" t="n">
        <x:v>-0.607732355594635</x:v>
      </x:c>
      <x:c r="R51" s="8" t="n">
        <x:v>-0.10130926221609116</x:v>
      </x:c>
    </x:row>
    <x:row r="52">
      <x:c r="A52" s="8" t="n">
        <x:v>-16</x:v>
      </x:c>
      <x:c r="B52" s="8" t="str">
        <x:v>R01</x:v>
      </x:c>
      <x:c r="C52" s="8" t="n">
        <x:v>3.6557557582855225</x:v>
      </x:c>
      <x:c r="D52" s="8" t="n">
        <x:v>3.722323417663574</x:v>
      </x:c>
      <x:c r="E52" s="8" t="n">
        <x:v>-1.5892003774642944</x:v>
      </x:c>
      <x:c r="F52" s="8" t="n">
        <x:v>-1.720355749130249</x:v>
      </x:c>
      <x:c r="G52" s="8" t="n">
        <x:v>40.33024215698242</x:v>
      </x:c>
      <x:c r="H52" s="8" t="n">
        <x:v>233.19200134277344</x:v>
      </x:c>
      <x:c r="I52" s="8" t="n">
        <x:v>70.66268920898438</x:v>
      </x:c>
      <x:c r="J52" s="8" t="n">
        <x:v>70.50784301757812</x:v>
      </x:c>
      <x:c r="K52" s="8" t="n">
        <x:v>5.571325302124023</x:v>
      </x:c>
      <x:c r="L52" s="8" t="n">
        <x:v>3.8179800510406494</x:v>
      </x:c>
      <x:c r="M52" s="8" t="n">
        <x:v>66.80828857421875</x:v>
      </x:c>
      <x:c r="N52" s="8" t="n">
        <x:v>66.19253540039062</x:v>
      </x:c>
      <x:c r="O52" s="8" t="n">
        <x:v>64.29993438720703</x:v>
      </x:c>
      <x:c r="P52" s="8" t="n">
        <x:v>-1.2371184825897217</x:v>
      </x:c>
      <x:c r="Q52" s="8" t="n">
        <x:v>-1.757550835609436</x:v>
      </x:c>
      <x:c r="R52" s="8" t="n">
        <x:v>-1.9647294282913208</x:v>
      </x:c>
    </x:row>
    <x:row r="53">
      <x:c r="A53" s="8" t="n">
        <x:v>-16</x:v>
      </x:c>
      <x:c r="B53" s="8" t="str">
        <x:v>R02</x:v>
      </x:c>
      <x:c r="C53" s="8" t="n">
        <x:v>3.6328375339508057</x:v>
      </x:c>
      <x:c r="D53" s="8" t="n">
        <x:v>3.717810869216919</x:v>
      </x:c>
      <x:c r="E53" s="8" t="n">
        <x:v>-1.5641952753067017</x:v>
      </x:c>
      <x:c r="F53" s="8" t="n">
        <x:v>-1.5939216613769531</x:v>
      </x:c>
      <x:c r="G53" s="8" t="n">
        <x:v>40.95690155029297</x:v>
      </x:c>
      <x:c r="H53" s="8" t="n">
        <x:v>219.57583618164062</x:v>
      </x:c>
      <x:c r="I53" s="8" t="n">
        <x:v>70.91753387451172</x:v>
      </x:c>
      <x:c r="J53" s="8" t="n">
        <x:v>70.79407501220703</x:v>
      </x:c>
      <x:c r="K53" s="8" t="n">
        <x:v>5.826173782348633</x:v>
      </x:c>
      <x:c r="L53" s="8" t="n">
        <x:v>3.8062782287597656</x:v>
      </x:c>
      <x:c r="M53" s="8" t="n">
        <x:v>66.82112121582031</x:v>
      </x:c>
      <x:c r="N53" s="8" t="n">
        <x:v>66.45234680175781</x:v>
      </x:c>
      <x:c r="O53" s="8" t="n">
        <x:v>64.94813537597656</x:v>
      </x:c>
      <x:c r="P53" s="8" t="n">
        <x:v>-1.4298579692840576</x:v>
      </x:c>
      <x:c r="Q53" s="8" t="n">
        <x:v>-1.9152288436889648</x:v>
      </x:c>
      <x:c r="R53" s="8" t="n">
        <x:v>-1.2806463241577148</x:v>
      </x:c>
    </x:row>
    <x:row r="54">
      <x:c r="A54" s="8" t="n">
        <x:v>-16</x:v>
      </x:c>
      <x:c r="B54" s="8" t="str">
        <x:v>R03</x:v>
      </x:c>
      <x:c r="C54" s="8" t="n">
        <x:v>3.6956043243408203</x:v>
      </x:c>
      <x:c r="D54" s="8" t="n">
        <x:v>3.7391536235809326</x:v>
      </x:c>
      <x:c r="E54" s="8" t="n">
        <x:v>-0.8812982439994812</x:v>
      </x:c>
      <x:c r="F54" s="8" t="n">
        <x:v>-0.9048947691917419</x:v>
      </x:c>
      <x:c r="G54" s="8" t="n">
        <x:v>44.81740951538086</x:v>
      </x:c>
      <x:c r="H54" s="8" t="n">
        <x:v>209.60635375976562</x:v>
      </x:c>
      <x:c r="I54" s="8" t="n">
        <x:v>71.07954406738281</x:v>
      </x:c>
      <x:c r="J54" s="8" t="n">
        <x:v>70.95166015625</x:v>
      </x:c>
      <x:c r="K54" s="8" t="n">
        <x:v>5.98817777633667</x:v>
      </x:c>
      <x:c r="L54" s="8" t="n">
        <x:v>3.8558380603790283</x:v>
      </x:c>
      <x:c r="M54" s="8" t="n">
        <x:v>67.02275085449219</x:v>
      </x:c>
      <x:c r="N54" s="8" t="n">
        <x:v>66.602783203125</x:v>
      </x:c>
      <x:c r="O54" s="8" t="n">
        <x:v>65.06497192382812</x:v>
      </x:c>
      <x:c r="P54" s="8" t="n">
        <x:v>-0.8448140621185303</x:v>
      </x:c>
      <x:c r="Q54" s="8" t="n">
        <x:v>-0.9812273979187012</x:v>
      </x:c>
      <x:c r="R54" s="8" t="n">
        <x:v>-0.7964611649513245</x:v>
      </x:c>
    </x:row>
    <x:row r="55">
      <x:c r="A55" s="8" t="n">
        <x:v>-16</x:v>
      </x:c>
      <x:c r="B55" s="8" t="str">
        <x:v>R04</x:v>
      </x:c>
      <x:c r="C55" s="8" t="n">
        <x:v>3.7361409664154053</x:v>
      </x:c>
      <x:c r="D55" s="8" t="n">
        <x:v>3.7105441093444824</x:v>
      </x:c>
      <x:c r="E55" s="8" t="n">
        <x:v>-1.7260265350341797</x:v>
      </x:c>
      <x:c r="F55" s="8" t="n">
        <x:v>-1.8915352821350098</x:v>
      </x:c>
      <x:c r="G55" s="8" t="n">
        <x:v>39.644927978515625</x:v>
      </x:c>
      <x:c r="H55" s="8" t="n">
        <x:v>235.7357177734375</x:v>
      </x:c>
      <x:c r="I55" s="8" t="n">
        <x:v>70.58124542236328</x:v>
      </x:c>
      <x:c r="J55" s="8" t="n">
        <x:v>70.43438720703125</x:v>
      </x:c>
      <x:c r="K55" s="8" t="n">
        <x:v>5.489884376525879</x:v>
      </x:c>
      <x:c r="L55" s="8" t="n">
        <x:v>3.8128552436828613</x:v>
      </x:c>
      <x:c r="M55" s="8" t="n">
        <x:v>66.62861633300781</x:v>
      </x:c>
      <x:c r="N55" s="8" t="n">
        <x:v>66.203369140625</x:v>
      </x:c>
      <x:c r="O55" s="8" t="n">
        <x:v>64.24725341796875</x:v>
      </x:c>
      <x:c r="P55" s="8" t="n">
        <x:v>-1.2644625902175903</x:v>
      </x:c>
      <x:c r="Q55" s="8" t="n">
        <x:v>-1.6769851446151733</x:v>
      </x:c>
      <x:c r="R55" s="8" t="n">
        <x:v>-2.6307213306427</x:v>
      </x:c>
    </x:row>
    <x:row r="56">
      <x:c r="A56" s="8" t="n">
        <x:v>-16</x:v>
      </x:c>
      <x:c r="B56" s="8" t="str">
        <x:v>R05</x:v>
      </x:c>
      <x:c r="C56" s="8" t="n">
        <x:v>3.5130109786987305</x:v>
      </x:c>
      <x:c r="D56" s="8" t="n">
        <x:v>3.714761734008789</x:v>
      </x:c>
      <x:c r="E56" s="8" t="n">
        <x:v>-2.0840981006622314</x:v>
      </x:c>
      <x:c r="F56" s="8" t="n">
        <x:v>-2.299018144607544</x:v>
      </x:c>
      <x:c r="G56" s="8" t="n">
        <x:v>37.42121887207031</x:v>
      </x:c>
      <x:c r="H56" s="8" t="n">
        <x:v>240.45208740234375</x:v>
      </x:c>
      <x:c r="I56" s="8" t="n">
        <x:v>70.61329650878906</x:v>
      </x:c>
      <x:c r="J56" s="8" t="n">
        <x:v>70.46349334716797</x:v>
      </x:c>
      <x:c r="K56" s="8" t="n">
        <x:v>5.521932601928711</x:v>
      </x:c>
      <x:c r="L56" s="8" t="n">
        <x:v>3.7997655868530273</x:v>
      </x:c>
      <x:c r="M56" s="8" t="n">
        <x:v>66.65129089355469</x:v>
      </x:c>
      <x:c r="N56" s="8" t="n">
        <x:v>66.30956268310547</x:v>
      </x:c>
      <x:c r="O56" s="8" t="n">
        <x:v>64.177001953125</x:v>
      </x:c>
      <x:c r="P56" s="8" t="n">
        <x:v>-1.4456756114959717</x:v>
      </x:c>
      <x:c r="Q56" s="8" t="n">
        <x:v>-2.110710859298706</x:v>
      </x:c>
      <x:c r="R56" s="8" t="n">
        <x:v>-3.2301926612854004</x:v>
      </x:c>
    </x:row>
    <x:row r="57">
      <x:c r="A57" s="8" t="n">
        <x:v>-16</x:v>
      </x:c>
      <x:c r="B57" s="8" t="str">
        <x:v>R06</x:v>
      </x:c>
      <x:c r="C57" s="8" t="n">
        <x:v>3.4907796382904053</x:v>
      </x:c>
      <x:c r="D57" s="8" t="n">
        <x:v>3.731031656265259</x:v>
      </x:c>
      <x:c r="E57" s="8" t="n">
        <x:v>-0.2981109321117401</x:v>
      </x:c>
      <x:c r="F57" s="8" t="n">
        <x:v>-0.9433179497718811</x:v>
      </x:c>
      <x:c r="G57" s="8" t="n">
        <x:v>46.16336441040039</x:v>
      </x:c>
      <x:c r="H57" s="8" t="n">
        <x:v>213.83473205566406</x:v>
      </x:c>
      <x:c r="I57" s="8" t="n">
        <x:v>71.23401641845703</x:v>
      </x:c>
      <x:c r="J57" s="8" t="n">
        <x:v>71.10198211669922</x:v>
      </x:c>
      <x:c r="K57" s="8" t="n">
        <x:v>6.1426544189453125</x:v>
      </x:c>
      <x:c r="L57" s="8" t="n">
        <x:v>3.7891907691955566</x:v>
      </x:c>
      <x:c r="M57" s="8" t="n">
        <x:v>67.23747253417969</x:v>
      </x:c>
      <x:c r="N57" s="8" t="n">
        <x:v>66.69024658203125</x:v>
      </x:c>
      <x:c r="O57" s="8" t="n">
        <x:v>65.21897888183594</x:v>
      </x:c>
      <x:c r="P57" s="8" t="n">
        <x:v>-0.23959247767925262</x:v>
      </x:c>
      <x:c r="Q57" s="8" t="n">
        <x:v>-0.25877144932746887</x:v>
      </x:c>
      <x:c r="R57" s="8" t="n">
        <x:v>-0.4467600882053375</x:v>
      </x:c>
    </x:row>
    <x:row r="58">
      <x:c r="A58" s="8" t="n">
        <x:v>-16</x:v>
      </x:c>
      <x:c r="B58" s="8" t="str">
        <x:v>R07</x:v>
      </x:c>
      <x:c r="C58" s="8" t="n">
        <x:v>3.534440517425537</x:v>
      </x:c>
      <x:c r="D58" s="8" t="n">
        <x:v>3.718219041824341</x:v>
      </x:c>
      <x:c r="E58" s="8" t="n">
        <x:v>0.6906092762947083</x:v>
      </x:c>
      <x:c r="F58" s="8" t="n">
        <x:v>0.3241722583770752</x:v>
      </x:c>
      <x:c r="G58" s="8" t="n">
        <x:v>52.03419494628906</x:v>
      </x:c>
      <x:c r="H58" s="8" t="n">
        <x:v>193.84161376953125</x:v>
      </x:c>
      <x:c r="I58" s="8" t="n">
        <x:v>71.60745239257812</x:v>
      </x:c>
      <x:c r="J58" s="8" t="n">
        <x:v>71.4889907836914</x:v>
      </x:c>
      <x:c r="K58" s="8" t="n">
        <x:v>6.516087532043457</x:v>
      </x:c>
      <x:c r="L58" s="8" t="n">
        <x:v>3.7376060485839844</x:v>
      </x:c>
      <x:c r="M58" s="8" t="n">
        <x:v>67.50868225097656</x:v>
      </x:c>
      <x:c r="N58" s="8" t="n">
        <x:v>67.05514526367188</x:v>
      </x:c>
      <x:c r="O58" s="8" t="n">
        <x:v>65.7618637084961</x:v>
      </x:c>
      <x:c r="P58" s="8" t="n">
        <x:v>0.9849667549133301</x:v>
      </x:c>
      <x:c r="Q58" s="8" t="n">
        <x:v>0.3648233413696289</x:v>
      </x:c>
      <x:c r="R58" s="8" t="n">
        <x:v>0.69218510389328</x:v>
      </x:c>
    </x:row>
    <x:row r="59">
      <x:c r="A59" s="8" t="n">
        <x:v>-16</x:v>
      </x:c>
      <x:c r="B59" s="8" t="str">
        <x:v>R08</x:v>
      </x:c>
      <x:c r="C59" s="8" t="n">
        <x:v>3.463282823562622</x:v>
      </x:c>
      <x:c r="D59" s="8" t="n">
        <x:v>3.729745388031006</x:v>
      </x:c>
      <x:c r="E59" s="8" t="n">
        <x:v>0.8466895818710327</x:v>
      </x:c>
      <x:c r="F59" s="8" t="n">
        <x:v>0.49993908405303955</x:v>
      </x:c>
      <x:c r="G59" s="8" t="n">
        <x:v>53.010169982910156</x:v>
      </x:c>
      <x:c r="H59" s="8" t="n">
        <x:v>189.0257568359375</x:v>
      </x:c>
      <x:c r="I59" s="8" t="n">
        <x:v>71.80245208740234</x:v>
      </x:c>
      <x:c r="J59" s="8" t="n">
        <x:v>71.70600891113281</x:v>
      </x:c>
      <x:c r="K59" s="8" t="n">
        <x:v>6.711084365844727</x:v>
      </x:c>
      <x:c r="L59" s="8" t="n">
        <x:v>3.7992515563964844</x:v>
      </x:c>
      <x:c r="M59" s="8" t="n">
        <x:v>67.47515869140625</x:v>
      </x:c>
      <x:c r="N59" s="8" t="n">
        <x:v>67.3626480102539</x:v>
      </x:c>
      <x:c r="O59" s="8" t="n">
        <x:v>66.13256072998047</x:v>
      </x:c>
      <x:c r="P59" s="8" t="n">
        <x:v>0.4719778597354889</x:v>
      </x:c>
      <x:c r="Q59" s="8" t="n">
        <x:v>0.5625767111778259</x:v>
      </x:c>
      <x:c r="R59" s="8" t="n">
        <x:v>1.7538254261016846</x:v>
      </x:c>
    </x:row>
    <x:row r="60">
      <x:c r="A60" s="8" t="n">
        <x:v>-16</x:v>
      </x:c>
      <x:c r="B60" s="8" t="str">
        <x:v>R09</x:v>
      </x:c>
      <x:c r="C60" s="8" t="n">
        <x:v>3.544560194015503</x:v>
      </x:c>
      <x:c r="D60" s="8" t="n">
        <x:v>3.734011650085449</x:v>
      </x:c>
      <x:c r="E60" s="8" t="n">
        <x:v>0.10913223773241043</x:v>
      </x:c>
      <x:c r="F60" s="8" t="n">
        <x:v>-0.4754038453102112</x:v>
      </x:c>
      <x:c r="G60" s="8" t="n">
        <x:v>48.98284149169922</x:v>
      </x:c>
      <x:c r="H60" s="8" t="n">
        <x:v>208.20289611816406</x:v>
      </x:c>
      <x:c r="I60" s="8" t="n">
        <x:v>71.31547546386719</x:v>
      </x:c>
      <x:c r="J60" s="8" t="n">
        <x:v>71.19813537597656</x:v>
      </x:c>
      <x:c r="K60" s="8" t="n">
        <x:v>6.2241106033325195</x:v>
      </x:c>
      <x:c r="L60" s="8" t="n">
        <x:v>3.7717225551605225</x:v>
      </x:c>
      <x:c r="M60" s="8" t="n">
        <x:v>67.19969177246094</x:v>
      </x:c>
      <x:c r="N60" s="8" t="n">
        <x:v>66.78225708007812</x:v>
      </x:c>
      <x:c r="O60" s="8" t="n">
        <x:v>65.46949005126953</x:v>
      </x:c>
      <x:c r="P60" s="8" t="n">
        <x:v>0.21567000448703766</x:v>
      </x:c>
      <x:c r="Q60" s="8" t="n">
        <x:v>-0.0827220231294632</x:v>
      </x:c>
      <x:c r="R60" s="8" t="n">
        <x:v>0.2098470777273178</x:v>
      </x:c>
    </x:row>
    <x:row r="61">
      <x:c r="A61" s="8" t="n">
        <x:v>-16</x:v>
      </x:c>
      <x:c r="B61" s="8" t="str">
        <x:v>R10</x:v>
      </x:c>
      <x:c r="C61" s="8" t="n">
        <x:v>3.563453435897827</x:v>
      </x:c>
      <x:c r="D61" s="8" t="n">
        <x:v>3.711294412612915</x:v>
      </x:c>
      <x:c r="E61" s="8" t="n">
        <x:v>-1.4651621580123901</x:v>
      </x:c>
      <x:c r="F61" s="8" t="n">
        <x:v>-2.0792653560638428</x:v>
      </x:c>
      <x:c r="G61" s="8" t="n">
        <x:v>38.510929107666016</x:v>
      </x:c>
      <x:c r="H61" s="8" t="n">
        <x:v>238.9356689453125</x:v>
      </x:c>
      <x:c r="I61" s="8" t="n">
        <x:v>70.55950927734375</x:v>
      </x:c>
      <x:c r="J61" s="8" t="n">
        <x:v>70.43181610107422</x:v>
      </x:c>
      <x:c r="K61" s="8" t="n">
        <x:v>5.468144416809082</x:v>
      </x:c>
      <x:c r="L61" s="8" t="n">
        <x:v>3.777005910873413</x:v>
      </x:c>
      <x:c r="M61" s="8" t="n">
        <x:v>66.39189910888672</x:v>
      </x:c>
      <x:c r="N61" s="8" t="n">
        <x:v>66.3295669555664</x:v>
      </x:c>
      <x:c r="O61" s="8" t="n">
        <x:v>64.35052490234375</x:v>
      </x:c>
      <x:c r="P61" s="8" t="n">
        <x:v>-1.3527226448059082</x:v>
      </x:c>
      <x:c r="Q61" s="8" t="n">
        <x:v>-1.3452401161193848</x:v>
      </x:c>
      <x:c r="R61" s="8" t="n">
        <x:v>-1.8382662534713745</x:v>
      </x:c>
    </x:row>
    <x:row r="62">
      <x:c r="A62" s="8" t="n">
        <x:v>-16</x:v>
      </x:c>
      <x:c r="B62" s="8" t="str">
        <x:v>R11</x:v>
      </x:c>
      <x:c r="C62" s="8" t="n">
        <x:v>3.656857967376709</x:v>
      </x:c>
      <x:c r="D62" s="8" t="n">
        <x:v>3.7220942974090576</x:v>
      </x:c>
      <x:c r="E62" s="8" t="n">
        <x:v>-0.08740450441837311</x:v>
      </x:c>
      <x:c r="F62" s="8" t="n">
        <x:v>-1.487403154373169</x:v>
      </x:c>
      <x:c r="G62" s="8" t="n">
        <x:v>42.734153747558594</x:v>
      </x:c>
      <x:c r="H62" s="8" t="n">
        <x:v>228.039306640625</x:v>
      </x:c>
      <x:c r="I62" s="8" t="n">
        <x:v>71.09823608398438</x:v>
      </x:c>
      <x:c r="J62" s="8" t="n">
        <x:v>70.99341583251953</x:v>
      </x:c>
      <x:c r="K62" s="8" t="n">
        <x:v>6.006871223449707</x:v>
      </x:c>
      <x:c r="L62" s="8" t="n">
        <x:v>3.757629632949829</x:v>
      </x:c>
      <x:c r="M62" s="8" t="n">
        <x:v>66.80765533447266</x:v>
      </x:c>
      <x:c r="N62" s="8" t="n">
        <x:v>66.73064422607422</x:v>
      </x:c>
      <x:c r="O62" s="8" t="n">
        <x:v>65.2789306640625</x:v>
      </x:c>
      <x:c r="P62" s="8" t="n">
        <x:v>-0.4255616366863251</x:v>
      </x:c>
      <x:c r="Q62" s="8" t="n">
        <x:v>0.13175910711288452</x:v>
      </x:c>
      <x:c r="R62" s="8" t="n">
        <x:v>0.0899735689163208</x:v>
      </x:c>
    </x:row>
    <x:row r="63">
      <x:c r="A63" s="8" t="n">
        <x:v>-16</x:v>
      </x:c>
      <x:c r="B63" s="8" t="str">
        <x:v>R12</x:v>
      </x:c>
      <x:c r="C63" s="8" t="n">
        <x:v>3.6171741485595703</x:v>
      </x:c>
      <x:c r="D63" s="8" t="n">
        <x:v>3.7508647441864014</x:v>
      </x:c>
      <x:c r="E63" s="8" t="n">
        <x:v>0.022096902132034302</x:v>
      </x:c>
      <x:c r="F63" s="8" t="n">
        <x:v>-1.131980299949646</x:v>
      </x:c>
      <x:c r="G63" s="8" t="n">
        <x:v>44.151519775390625</x:v>
      </x:c>
      <x:c r="H63" s="8" t="n">
        <x:v>227.46292114257812</x:v>
      </x:c>
      <x:c r="I63" s="8" t="n">
        <x:v>71.0676498413086</x:v>
      </x:c>
      <x:c r="J63" s="8" t="n">
        <x:v>70.96719360351562</x:v>
      </x:c>
      <x:c r="K63" s="8" t="n">
        <x:v>5.976286888122559</x:v>
      </x:c>
      <x:c r="L63" s="8" t="n">
        <x:v>3.766625165939331</x:v>
      </x:c>
      <x:c r="M63" s="8" t="n">
        <x:v>66.74491882324219</x:v>
      </x:c>
      <x:c r="N63" s="8" t="n">
        <x:v>66.69115447998047</x:v>
      </x:c>
      <x:c r="O63" s="8" t="n">
        <x:v>65.30593872070312</x:v>
      </x:c>
      <x:c r="P63" s="8" t="n">
        <x:v>-0.23174208402633667</x:v>
      </x:c>
      <x:c r="Q63" s="8" t="n">
        <x:v>-0.170848548412323</x:v>
      </x:c>
      <x:c r="R63" s="8" t="n">
        <x:v>0.6455579400062561</x:v>
      </x:c>
    </x:row>
    <x:row r="64">
      <x:c r="A64" s="8" t="n">
        <x:v>-16</x:v>
      </x:c>
      <x:c r="B64" s="8" t="str">
        <x:v>R13</x:v>
      </x:c>
      <x:c r="C64" s="8" t="n">
        <x:v>3.618969678878784</x:v>
      </x:c>
      <x:c r="D64" s="8" t="n">
        <x:v>3.763469934463501</x:v>
      </x:c>
      <x:c r="E64" s="8" t="n">
        <x:v>0.05431150645017624</x:v>
      </x:c>
      <x:c r="F64" s="8" t="n">
        <x:v>-1.0893726348876953</x:v>
      </x:c>
      <x:c r="G64" s="8" t="n">
        <x:v>44.438079833984375</x:v>
      </x:c>
      <x:c r="H64" s="8" t="n">
        <x:v>226.24270629882812</x:v>
      </x:c>
      <x:c r="I64" s="8" t="n">
        <x:v>71.0948486328125</x:v>
      </x:c>
      <x:c r="J64" s="8" t="n">
        <x:v>70.97967529296875</x:v>
      </x:c>
      <x:c r="K64" s="8" t="n">
        <x:v>6.003481864929199</x:v>
      </x:c>
      <x:c r="L64" s="8" t="n">
        <x:v>3.808264970779419</x:v>
      </x:c>
      <x:c r="M64" s="8" t="n">
        <x:v>66.99800872802734</x:v>
      </x:c>
      <x:c r="N64" s="8" t="n">
        <x:v>66.47576904296875</x:v>
      </x:c>
      <x:c r="O64" s="8" t="n">
        <x:v>65.3347396850586</x:v>
      </x:c>
      <x:c r="P64" s="8" t="n">
        <x:v>-0.18267133831977844</x:v>
      </x:c>
      <x:c r="Q64" s="8" t="n">
        <x:v>-0.48592594265937805</x:v>
      </x:c>
      <x:c r="R64" s="8" t="n">
        <x:v>1.1097304821014404</x:v>
      </x:c>
    </x:row>
    <x:row r="65">
      <x:c r="A65" s="8" t="n">
        <x:v>-16</x:v>
      </x:c>
      <x:c r="B65" s="8" t="str">
        <x:v>R14</x:v>
      </x:c>
      <x:c r="C65" s="8" t="n">
        <x:v>3.5681538581848145</x:v>
      </x:c>
      <x:c r="D65" s="8" t="n">
        <x:v>3.7628469467163086</x:v>
      </x:c>
      <x:c r="E65" s="8" t="n">
        <x:v>-0.16575095057487488</x:v>
      </x:c>
      <x:c r="F65" s="8" t="n">
        <x:v>-1.586617112159729</x:v>
      </x:c>
      <x:c r="G65" s="8" t="n">
        <x:v>41.52949523925781</x:v>
      </x:c>
      <x:c r="H65" s="8" t="n">
        <x:v>227.56349182128906</x:v>
      </x:c>
      <x:c r="I65" s="8" t="n">
        <x:v>71.02703094482422</x:v>
      </x:c>
      <x:c r="J65" s="8" t="n">
        <x:v>70.91221618652344</x:v>
      </x:c>
      <x:c r="K65" s="8" t="n">
        <x:v>5.935668468475342</x:v>
      </x:c>
      <x:c r="L65" s="8" t="n">
        <x:v>3.746638298034668</x:v>
      </x:c>
      <x:c r="M65" s="8" t="n">
        <x:v>66.81879425048828</x:v>
      </x:c>
      <x:c r="N65" s="8" t="n">
        <x:v>66.65863800048828</x:v>
      </x:c>
      <x:c r="O65" s="8" t="n">
        <x:v>65.08905029296875</x:v>
      </x:c>
      <x:c r="P65" s="8" t="n">
        <x:v>-0.5884121656417847</x:v>
      </x:c>
      <x:c r="Q65" s="8" t="n">
        <x:v>-0.038083743304014206</x:v>
      </x:c>
      <x:c r="R65" s="8" t="n">
        <x:v>0.2845827341079712</x:v>
      </x:c>
    </x:row>
    <x:row r="66">
      <x:c r="A66" s="8" t="n">
        <x:v>-16</x:v>
      </x:c>
      <x:c r="B66" s="8" t="str">
        <x:v>R15</x:v>
      </x:c>
      <x:c r="C66" s="8" t="n">
        <x:v>3.673166036605835</x:v>
      </x:c>
      <x:c r="D66" s="8" t="n">
        <x:v>3.7159817218780518</x:v>
      </x:c>
      <x:c r="E66" s="8" t="n">
        <x:v>-0.9636377096176147</x:v>
      </x:c>
      <x:c r="F66" s="8" t="n">
        <x:v>-2.830129861831665</x:v>
      </x:c>
      <x:c r="G66" s="8" t="n">
        <x:v>36.276798248291016</x:v>
      </x:c>
      <x:c r="H66" s="8" t="n">
        <x:v>246.86688232421875</x:v>
      </x:c>
      <x:c r="I66" s="8" t="n">
        <x:v>70.6733627319336</x:v>
      </x:c>
      <x:c r="J66" s="8" t="n">
        <x:v>70.55517578125</x:v>
      </x:c>
      <x:c r="K66" s="8" t="n">
        <x:v>5.581996917724609</x:v>
      </x:c>
      <x:c r="L66" s="8" t="n">
        <x:v>3.7534005641937256</x:v>
      </x:c>
      <x:c r="M66" s="8" t="n">
        <x:v>66.53961944580078</x:v>
      </x:c>
      <x:c r="N66" s="8" t="n">
        <x:v>66.1977310180664</x:v>
      </x:c>
      <x:c r="O66" s="8" t="n">
        <x:v>64.77532958984375</x:v>
      </x:c>
      <x:c r="P66" s="8" t="n">
        <x:v>-1.0006457567214966</x:v>
      </x:c>
      <x:c r="Q66" s="8" t="n">
        <x:v>-1.0586687326431274</x:v>
      </x:c>
      <x:c r="R66" s="8" t="n">
        <x:v>-0.7783836126327515</x:v>
      </x:c>
    </x:row>
    <x:row r="67">
      <x:c r="A67" s="8" t="n">
        <x:v>-16</x:v>
      </x:c>
      <x:c r="B67" s="8" t="str">
        <x:v>R16</x:v>
      </x:c>
      <x:c r="C67" s="8" t="n">
        <x:v>3.6318750381469727</x:v>
      </x:c>
      <x:c r="D67" s="8" t="n">
        <x:v>3.8237366676330566</x:v>
      </x:c>
      <x:c r="E67" s="8" t="n">
        <x:v>-1.1362632513046265</x:v>
      </x:c>
      <x:c r="F67" s="8" t="n">
        <x:v>-3.2569241523742676</x:v>
      </x:c>
      <x:c r="G67" s="8" t="n">
        <x:v>33.47748947143555</x:v>
      </x:c>
      <x:c r="H67" s="8" t="n">
        <x:v>263.6674499511719</x:v>
      </x:c>
      <x:c r="I67" s="8" t="n">
        <x:v>70.44369506835938</x:v>
      </x:c>
      <x:c r="J67" s="8" t="n">
        <x:v>70.32733154296875</x:v>
      </x:c>
      <x:c r="K67" s="8" t="n">
        <x:v>5.352335453033447</x:v>
      </x:c>
      <x:c r="L67" s="8" t="n">
        <x:v>3.7949681282043457</x:v>
      </x:c>
      <x:c r="M67" s="8" t="n">
        <x:v>66.27194213867188</x:v>
      </x:c>
      <x:c r="N67" s="8" t="n">
        <x:v>66.02172088623047</x:v>
      </x:c>
      <x:c r="O67" s="8" t="n">
        <x:v>64.52754211425781</x:v>
      </x:c>
      <x:c r="P67" s="8" t="n">
        <x:v>-1.3094006776809692</x:v>
      </x:c>
      <x:c r="Q67" s="8" t="n">
        <x:v>-1.284132719039917</x:v>
      </x:c>
      <x:c r="R67" s="8" t="n">
        <x:v>-0.6683185696601868</x:v>
      </x:c>
    </x:row>
    <x:row r="68">
      <x:c r="A68" s="8" t="n">
        <x:v>-16</x:v>
      </x:c>
      <x:c r="B68" s="8" t="str">
        <x:v>R17</x:v>
      </x:c>
      <x:c r="C68" s="8" t="n">
        <x:v>3.6269948482513428</x:v>
      </x:c>
      <x:c r="D68" s="8" t="n">
        <x:v>3.8529584407806396</x:v>
      </x:c>
      <x:c r="E68" s="8" t="n">
        <x:v>-0.3470905125141144</x:v>
      </x:c>
      <x:c r="F68" s="8" t="n">
        <x:v>-2.488455295562744</x:v>
      </x:c>
      <x:c r="G68" s="8" t="n">
        <x:v>37.0919189453125</x:v>
      </x:c>
      <x:c r="H68" s="8" t="n">
        <x:v>252.6474609375</x:v>
      </x:c>
      <x:c r="I68" s="8" t="n">
        <x:v>70.60208892822266</x:v>
      </x:c>
      <x:c r="J68" s="8" t="n">
        <x:v>70.45738220214844</x:v>
      </x:c>
      <x:c r="K68" s="8" t="n">
        <x:v>5.510725021362305</x:v>
      </x:c>
      <x:c r="L68" s="8" t="n">
        <x:v>3.866366147994995</x:v>
      </x:c>
      <x:c r="M68" s="8" t="n">
        <x:v>66.63247680664062</x:v>
      </x:c>
      <x:c r="N68" s="8" t="n">
        <x:v>66.22550201416016</x:v>
      </x:c>
      <x:c r="O68" s="8" t="n">
        <x:v>64.29530334472656</x:v>
      </x:c>
      <x:c r="P68" s="8" t="n">
        <x:v>-0.3248785436153412</x:v>
      </x:c>
      <x:c r="Q68" s="8" t="n">
        <x:v>-0.22737470269203186</x:v>
      </x:c>
      <x:c r="R68" s="8" t="n">
        <x:v>-0.5727734565734863</x:v>
      </x:c>
    </x:row>
    <x:row r="69">
      <x:c r="A69" s="8" t="n">
        <x:v>-16</x:v>
      </x:c>
      <x:c r="B69" s="8" t="str">
        <x:v>R18</x:v>
      </x:c>
      <x:c r="C69" s="8" t="n">
        <x:v>3.6477627754211426</x:v>
      </x:c>
      <x:c r="D69" s="8" t="n">
        <x:v>3.8266348838806152</x:v>
      </x:c>
      <x:c r="E69" s="8" t="n">
        <x:v>-0.6940773129463196</x:v>
      </x:c>
      <x:c r="F69" s="8" t="n">
        <x:v>-2.9718148708343506</x:v>
      </x:c>
      <x:c r="G69" s="8" t="n">
        <x:v>34.19194030761719</x:v>
      </x:c>
      <x:c r="H69" s="8" t="n">
        <x:v>250.5673370361328</x:v>
      </x:c>
      <x:c r="I69" s="8" t="n">
        <x:v>70.670654296875</x:v>
      </x:c>
      <x:c r="J69" s="8" t="n">
        <x:v>70.54230499267578</x:v>
      </x:c>
      <x:c r="K69" s="8" t="n">
        <x:v>5.579292297363281</x:v>
      </x:c>
      <x:c r="L69" s="8" t="n">
        <x:v>3.8748221397399902</x:v>
      </x:c>
      <x:c r="M69" s="8" t="n">
        <x:v>66.57562255859375</x:v>
      </x:c>
      <x:c r="N69" s="8" t="n">
        <x:v>66.29108428955078</x:v>
      </x:c>
      <x:c r="O69" s="8" t="n">
        <x:v>64.57508087158203</x:v>
      </x:c>
      <x:c r="P69" s="8" t="n">
        <x:v>-0.8577324151992798</x:v>
      </x:c>
      <x:c r="Q69" s="8" t="n">
        <x:v>-0.6010228991508484</x:v>
      </x:c>
      <x:c r="R69" s="8" t="n">
        <x:v>-0.5741718411445618</x:v>
      </x:c>
    </x:row>
    <x:row r="70">
      <x:c r="A70" s="8" t="n">
        <x:v>-16</x:v>
      </x:c>
      <x:c r="B70" s="8" t="str">
        <x:v>R19</x:v>
      </x:c>
      <x:c r="C70" s="8" t="n">
        <x:v>3.7208359241485596</x:v>
      </x:c>
      <x:c r="D70" s="8" t="n">
        <x:v>3.79137921333313</x:v>
      </x:c>
      <x:c r="E70" s="8" t="n">
        <x:v>-0.5928527116775513</x:v>
      </x:c>
      <x:c r="F70" s="8" t="n">
        <x:v>-2.7303061485290527</x:v>
      </x:c>
      <x:c r="G70" s="8" t="n">
        <x:v>35.376399993896484</x:v>
      </x:c>
      <x:c r="H70" s="8" t="n">
        <x:v>257.1179504394531</x:v>
      </x:c>
      <x:c r="I70" s="8" t="n">
        <x:v>70.65365600585938</x:v>
      </x:c>
      <x:c r="J70" s="8" t="n">
        <x:v>70.53263854980469</x:v>
      </x:c>
      <x:c r="K70" s="8" t="n">
        <x:v>5.56229305267334</x:v>
      </x:c>
      <x:c r="L70" s="8" t="n">
        <x:v>3.769456386566162</x:v>
      </x:c>
      <x:c r="M70" s="8" t="n">
        <x:v>66.51748657226562</x:v>
      </x:c>
      <x:c r="N70" s="8" t="n">
        <x:v>66.23522186279297</x:v>
      </x:c>
      <x:c r="O70" s="8" t="n">
        <x:v>64.67869567871094</x:v>
      </x:c>
      <x:c r="P70" s="8" t="n">
        <x:v>-0.8448266386985779</x:v>
      </x:c>
      <x:c r="Q70" s="8" t="n">
        <x:v>-0.474303662776947</x:v>
      </x:c>
      <x:c r="R70" s="8" t="n">
        <x:v>-0.3788539469242096</x:v>
      </x:c>
    </x:row>
    <x:row r="71">
      <x:c r="A71" s="8" t="n">
        <x:v>-16</x:v>
      </x:c>
      <x:c r="B71" s="8" t="str">
        <x:v>R20</x:v>
      </x:c>
      <x:c r="C71" s="8" t="n">
        <x:v>3.789076566696167</x:v>
      </x:c>
      <x:c r="D71" s="8" t="n">
        <x:v>3.7868106365203857</x:v>
      </x:c>
      <x:c r="E71" s="8" t="n">
        <x:v>-0.6640162467956543</x:v>
      </x:c>
      <x:c r="F71" s="8" t="n">
        <x:v>-2.6788668632507324</x:v>
      </x:c>
      <x:c r="G71" s="8" t="n">
        <x:v>36.536197662353516</x:v>
      </x:c>
      <x:c r="H71" s="8" t="n">
        <x:v>263.13543701171875</x:v>
      </x:c>
      <x:c r="I71" s="8" t="n">
        <x:v>70.21514892578125</x:v>
      </x:c>
      <x:c r="J71" s="8" t="n">
        <x:v>70.07916259765625</x:v>
      </x:c>
      <x:c r="K71" s="8" t="n">
        <x:v>5.123786926269531</x:v>
      </x:c>
      <x:c r="L71" s="8" t="n">
        <x:v>3.859574556350708</x:v>
      </x:c>
      <x:c r="M71" s="8" t="n">
        <x:v>66.21807861328125</x:v>
      </x:c>
      <x:c r="N71" s="8" t="n">
        <x:v>65.74600982666016</x:v>
      </x:c>
      <x:c r="O71" s="8" t="n">
        <x:v>64.09407806396484</x:v>
      </x:c>
      <x:c r="P71" s="8" t="n">
        <x:v>-0.7170084118843079</x:v>
      </x:c>
      <x:c r="Q71" s="8" t="n">
        <x:v>-0.8212481737136841</x:v>
      </x:c>
      <x:c r="R71" s="8" t="n">
        <x:v>-0.3464787006378174</x:v>
      </x:c>
    </x:row>
    <x:row r="72">
      <x:c r="A72" s="8" t="n">
        <x:v>-16</x:v>
      </x:c>
      <x:c r="B72" s="8" t="str">
        <x:v>R21</x:v>
      </x:c>
      <x:c r="C72" s="8" t="n">
        <x:v>3.8122658729553223</x:v>
      </x:c>
      <x:c r="D72" s="8" t="n">
        <x:v>3.811249017715454</x:v>
      </x:c>
      <x:c r="E72" s="8" t="n">
        <x:v>-1.3035883903503418</x:v>
      </x:c>
      <x:c r="F72" s="8" t="n">
        <x:v>-2.8625681400299072</x:v>
      </x:c>
      <x:c r="G72" s="8" t="n">
        <x:v>35.97172927856445</x:v>
      </x:c>
      <x:c r="H72" s="8" t="n">
        <x:v>281.9228515625</x:v>
      </x:c>
      <x:c r="I72" s="8" t="n">
        <x:v>70.24644470214844</x:v>
      </x:c>
      <x:c r="J72" s="8" t="n">
        <x:v>70.10755157470703</x:v>
      </x:c>
      <x:c r="K72" s="8" t="n">
        <x:v>5.155087471008301</x:v>
      </x:c>
      <x:c r="L72" s="8" t="n">
        <x:v>3.806783437728882</x:v>
      </x:c>
      <x:c r="M72" s="8" t="n">
        <x:v>66.18136596679688</x:v>
      </x:c>
      <x:c r="N72" s="8" t="n">
        <x:v>65.98587799072266</x:v>
      </x:c>
      <x:c r="O72" s="8" t="n">
        <x:v>63.91796112060547</x:v>
      </x:c>
      <x:c r="P72" s="8" t="n">
        <x:v>-1.060995101928711</x:v>
      </x:c>
      <x:c r="Q72" s="8" t="n">
        <x:v>-1.437390923500061</x:v>
      </x:c>
      <x:c r="R72" s="8" t="n">
        <x:v>-1.4986584186553955</x:v>
      </x:c>
    </x:row>
    <x:row r="73">
      <x:c r="A73" s="8" t="n">
        <x:v>-16</x:v>
      </x:c>
      <x:c r="B73" s="8" t="str">
        <x:v>R22</x:v>
      </x:c>
      <x:c r="C73" s="8" t="n">
        <x:v>3.67467999458313</x:v>
      </x:c>
      <x:c r="D73" s="8" t="n">
        <x:v>3.755615472793579</x:v>
      </x:c>
      <x:c r="E73" s="8" t="n">
        <x:v>-1.2556359767913818</x:v>
      </x:c>
      <x:c r="F73" s="8" t="n">
        <x:v>-3.406672716140747</x:v>
      </x:c>
      <x:c r="G73" s="8" t="n">
        <x:v>33.438690185546875</x:v>
      </x:c>
      <x:c r="H73" s="8" t="n">
        <x:v>272.0718994140625</x:v>
      </x:c>
      <x:c r="I73" s="8" t="n">
        <x:v>70.56562042236328</x:v>
      </x:c>
      <x:c r="J73" s="8" t="n">
        <x:v>70.4293441772461</x:v>
      </x:c>
      <x:c r="K73" s="8" t="n">
        <x:v>5.474255561828613</x:v>
      </x:c>
      <x:c r="L73" s="8" t="n">
        <x:v>3.846942663192749</x:v>
      </x:c>
      <x:c r="M73" s="8" t="n">
        <x:v>66.49808502197266</x:v>
      </x:c>
      <x:c r="N73" s="8" t="n">
        <x:v>66.26459503173828</x:v>
      </x:c>
      <x:c r="O73" s="8" t="n">
        <x:v>64.30554962158203</x:v>
      </x:c>
      <x:c r="P73" s="8" t="n">
        <x:v>-1.3581703901290894</x:v>
      </x:c>
      <x:c r="Q73" s="8" t="n">
        <x:v>-1.2718186378479004</x:v>
      </x:c>
      <x:c r="R73" s="8" t="n">
        <x:v>-1.0616587400436401</x:v>
      </x:c>
    </x:row>
    <x:row r="74">
      <x:c r="A74" s="8" t="n">
        <x:v>-16</x:v>
      </x:c>
      <x:c r="B74" s="8" t="str">
        <x:v>R23</x:v>
      </x:c>
      <x:c r="C74" s="8" t="n">
        <x:v>3.6552116870880127</x:v>
      </x:c>
      <x:c r="D74" s="8" t="n">
        <x:v>3.775395154953003</x:v>
      </x:c>
      <x:c r="E74" s="8" t="n">
        <x:v>-1.3529365062713623</x:v>
      </x:c>
      <x:c r="F74" s="8" t="n">
        <x:v>-3.4657225608825684</x:v>
      </x:c>
      <x:c r="G74" s="8" t="n">
        <x:v>32.7259635925293</x:v>
      </x:c>
      <x:c r="H74" s="8" t="n">
        <x:v>274.5866394042969</x:v>
      </x:c>
      <x:c r="I74" s="8" t="n">
        <x:v>70.5327377319336</x:v>
      </x:c>
      <x:c r="J74" s="8" t="n">
        <x:v>70.39912414550781</x:v>
      </x:c>
      <x:c r="K74" s="8" t="n">
        <x:v>5.441375732421875</x:v>
      </x:c>
      <x:c r="L74" s="8" t="n">
        <x:v>3.796814203262329</x:v>
      </x:c>
      <x:c r="M74" s="8" t="n">
        <x:v>66.45055389404297</x:v>
      </x:c>
      <x:c r="N74" s="8" t="n">
        <x:v>66.21791076660156</x:v>
      </x:c>
      <x:c r="O74" s="8" t="n">
        <x:v>64.31831359863281</x:v>
      </x:c>
      <x:c r="P74" s="8" t="n">
        <x:v>-1.305753231048584</x:v>
      </x:c>
      <x:c r="Q74" s="8" t="n">
        <x:v>-1.408252239227295</x:v>
      </x:c>
      <x:c r="R74" s="8" t="n">
        <x:v>-1.3446389436721802</x:v>
      </x:c>
    </x:row>
    <x:row r="75">
      <x:c r="A75" s="8" t="n">
        <x:v>-16</x:v>
      </x:c>
      <x:c r="B75" s="8" t="str">
        <x:v>R24</x:v>
      </x:c>
      <x:c r="C75" s="8" t="n">
        <x:v>3.8254146575927734</x:v>
      </x:c>
      <x:c r="D75" s="8" t="n">
        <x:v>3.805769443511963</x:v>
      </x:c>
      <x:c r="E75" s="8" t="n">
        <x:v>-1.5556819438934326</x:v>
      </x:c>
      <x:c r="F75" s="8" t="n">
        <x:v>-3.791308641433716</x:v>
      </x:c>
      <x:c r="G75" s="8" t="n">
        <x:v>30.990222930908203</x:v>
      </x:c>
      <x:c r="H75" s="8" t="n">
        <x:v>279.8200988769531</x:v>
      </x:c>
      <x:c r="I75" s="8" t="n">
        <x:v>70.24363708496094</x:v>
      </x:c>
      <x:c r="J75" s="8" t="n">
        <x:v>70.1048583984375</x:v>
      </x:c>
      <x:c r="K75" s="8" t="n">
        <x:v>5.152270317077637</x:v>
      </x:c>
      <x:c r="L75" s="8" t="n">
        <x:v>3.8471813201904297</x:v>
      </x:c>
      <x:c r="M75" s="8" t="n">
        <x:v>66.19511413574219</x:v>
      </x:c>
      <x:c r="N75" s="8" t="n">
        <x:v>65.94369506835938</x:v>
      </x:c>
      <x:c r="O75" s="8" t="n">
        <x:v>63.950157165527344</x:v>
      </x:c>
      <x:c r="P75" s="8" t="n">
        <x:v>-1.319169282913208</x:v>
      </x:c>
      <x:c r="Q75" s="8" t="n">
        <x:v>-1.4037787914276123</x:v>
      </x:c>
      <x:c r="R75" s="8" t="n">
        <x:v>-2.2087478637695312</x:v>
      </x:c>
    </x:row>
    <x:row r="76">
      <x:c r="A76" s="8" t="n">
        <x:v>-16</x:v>
      </x:c>
      <x:c r="B76" s="8" t="str">
        <x:v>R25</x:v>
      </x:c>
      <x:c r="C76" s="8" t="n">
        <x:v>3.7560243606567383</x:v>
      </x:c>
      <x:c r="D76" s="8" t="n">
        <x:v>3.8175437450408936</x:v>
      </x:c>
      <x:c r="E76" s="8" t="n">
        <x:v>-1.155534267425537</x:v>
      </x:c>
      <x:c r="F76" s="8" t="n">
        <x:v>-2.6727545261383057</x:v>
      </x:c>
      <x:c r="G76" s="8" t="n">
        <x:v>37.09990310668945</x:v>
      </x:c>
      <x:c r="H76" s="8" t="n">
        <x:v>276.5095520019531</x:v>
      </x:c>
      <x:c r="I76" s="8" t="n">
        <x:v>70.17073059082031</x:v>
      </x:c>
      <x:c r="J76" s="8" t="n">
        <x:v>70.0354232788086</x:v>
      </x:c>
      <x:c r="K76" s="8" t="n">
        <x:v>5.079367637634277</x:v>
      </x:c>
      <x:c r="L76" s="8" t="n">
        <x:v>3.847355842590332</x:v>
      </x:c>
      <x:c r="M76" s="8" t="n">
        <x:v>66.09966278076172</x:v>
      </x:c>
      <x:c r="N76" s="8" t="n">
        <x:v>65.86060333251953</x:v>
      </x:c>
      <x:c r="O76" s="8" t="n">
        <x:v>63.93074035644531</x:v>
      </x:c>
      <x:c r="P76" s="8" t="n">
        <x:v>-1.2496711015701294</x:v>
      </x:c>
      <x:c r="Q76" s="8" t="n">
        <x:v>-0.813834011554718</x:v>
      </x:c>
      <x:c r="R76" s="8" t="n">
        <x:v>-1.5369079113006592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9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4" t="str">
        <x:v>Angulo_deg</x:v>
      </x:c>
      <x:c r="B1" s="4" t="str">
        <x:v>Receptor</x:v>
      </x:c>
      <x:c r="C1" s="4" t="str">
        <x:v>EDT_s</x:v>
      </x:c>
      <x:c r="D1" s="4" t="str">
        <x:v>T20_s</x:v>
      </x:c>
      <x:c r="E1" s="4" t="str">
        <x:v>T30_s</x:v>
      </x:c>
      <x:c r="F1" s="4" t="str">
        <x:v>C80_dB</x:v>
      </x:c>
      <x:c r="G1" s="4" t="str">
        <x:v>Ts_ms</x:v>
      </x:c>
      <x:c r="H1" s="4" t="str">
        <x:v>STI</x:v>
      </x:c>
      <x:c r="I1" s="4" t="str">
        <x:v>D50_Global</x:v>
      </x:c>
      <x:c r="J1" s="4" t="str">
        <x:v>x_m</x:v>
      </x:c>
      <x:c r="K1" s="4" t="str">
        <x:v>y_m</x:v>
      </x:c>
      <x:c r="L1" s="4" t="str">
        <x:v>z_m</x:v>
      </x:c>
    </x:row>
    <x:row r="2">
      <x:c r="A2" s="8" t="n">
        <x:v>0</x:v>
      </x:c>
      <x:c r="B2" s="8" t="str">
        <x:v>R01</x:v>
      </x:c>
      <x:c r="C2" s="8" t="n">
        <x:v>3.56</x:v>
      </x:c>
      <x:c r="D2" s="8" t="n">
        <x:v>3.54</x:v>
      </x:c>
      <x:c r="E2" s="8" t="n">
        <x:v>3.37</x:v>
      </x:c>
      <x:c r="F2" s="8" t="n">
        <x:v>-3.4</x:v>
      </x:c>
      <x:c r="G2" s="8" t="n">
        <x:v>242</x:v>
      </x:c>
      <x:c r="H2" s="8" t="n">
        <x:v>0.4</x:v>
      </x:c>
      <x:c r="I2" s="8" t="n">
        <x:v>0.31</x:v>
      </x:c>
      <x:c r="J2" s="8" t="n">
        <x:v>8</x:v>
      </x:c>
      <x:c r="K2" s="8" t="n">
        <x:v>-5</x:v>
      </x:c>
      <x:c r="L2" s="8" t="n">
        <x:v>1.52</x:v>
      </x:c>
    </x:row>
    <x:row r="3">
      <x:c r="A3" s="8" t="n">
        <x:v>0</x:v>
      </x:c>
      <x:c r="B3" s="8" t="str">
        <x:v>R02</x:v>
      </x:c>
      <x:c r="C3" s="8" t="n">
        <x:v>3.59</x:v>
      </x:c>
      <x:c r="D3" s="8" t="n">
        <x:v>3.38</x:v>
      </x:c>
      <x:c r="E3" s="8" t="n">
        <x:v>3.37</x:v>
      </x:c>
      <x:c r="F3" s="8" t="n">
        <x:v>-5.1</x:v>
      </x:c>
      <x:c r="G3" s="8" t="n">
        <x:v>265</x:v>
      </x:c>
      <x:c r="H3" s="8" t="n">
        <x:v>0.45</x:v>
      </x:c>
      <x:c r="I3" s="8" t="n">
        <x:v>0.27</x:v>
      </x:c>
      <x:c r="J3" s="8" t="n">
        <x:v>8</x:v>
      </x:c>
      <x:c r="K3" s="8" t="n">
        <x:v>-2</x:v>
      </x:c>
      <x:c r="L3" s="8" t="n">
        <x:v>1.52</x:v>
      </x:c>
    </x:row>
    <x:row r="4">
      <x:c r="A4" s="8" t="n">
        <x:v>0</x:v>
      </x:c>
      <x:c r="B4" s="8" t="str">
        <x:v>R03</x:v>
      </x:c>
      <x:c r="C4" s="8" t="n">
        <x:v>3.64</x:v>
      </x:c>
      <x:c r="D4" s="8" t="n">
        <x:v>3.42</x:v>
      </x:c>
      <x:c r="E4" s="8" t="n">
        <x:v>3.36</x:v>
      </x:c>
      <x:c r="F4" s="8" t="n">
        <x:v>-5.5</x:v>
      </x:c>
      <x:c r="G4" s="8" t="n">
        <x:v>268</x:v>
      </x:c>
      <x:c r="H4" s="8" t="n">
        <x:v>0.46</x:v>
      </x:c>
      <x:c r="I4" s="8" t="n">
        <x:v>0.25</x:v>
      </x:c>
      <x:c r="J4" s="8" t="n">
        <x:v>8</x:v>
      </x:c>
      <x:c r="K4" s="8" t="n">
        <x:v>1</x:v>
      </x:c>
      <x:c r="L4" s="8" t="n">
        <x:v>1.52</x:v>
      </x:c>
    </x:row>
    <x:row r="5">
      <x:c r="A5" s="8" t="n">
        <x:v>0</x:v>
      </x:c>
      <x:c r="B5" s="8" t="str">
        <x:v>R04</x:v>
      </x:c>
      <x:c r="C5" s="8" t="n">
        <x:v>3.39</x:v>
      </x:c>
      <x:c r="D5" s="8" t="n">
        <x:v>3.35</x:v>
      </x:c>
      <x:c r="E5" s="8" t="n">
        <x:v>3.39</x:v>
      </x:c>
      <x:c r="F5" s="8" t="n">
        <x:v>-4.5</x:v>
      </x:c>
      <x:c r="G5" s="8" t="n">
        <x:v>241</x:v>
      </x:c>
      <x:c r="H5" s="8" t="n">
        <x:v>0.41</x:v>
      </x:c>
      <x:c r="I5" s="8" t="n">
        <x:v>0.28</x:v>
      </x:c>
      <x:c r="J5" s="8" t="n">
        <x:v>8</x:v>
      </x:c>
      <x:c r="K5" s="8" t="n">
        <x:v>4</x:v>
      </x:c>
      <x:c r="L5" s="8" t="n">
        <x:v>1.52</x:v>
      </x:c>
    </x:row>
    <x:row r="6">
      <x:c r="A6" s="8" t="n">
        <x:v>0</x:v>
      </x:c>
      <x:c r="B6" s="8" t="str">
        <x:v>R05</x:v>
      </x:c>
      <x:c r="C6" s="8" t="n">
        <x:v>3.67</x:v>
      </x:c>
      <x:c r="D6" s="8" t="n">
        <x:v>3.1</x:v>
      </x:c>
      <x:c r="E6" s="8" t="n">
        <x:v>3.17</x:v>
      </x:c>
      <x:c r="F6" s="8" t="n">
        <x:v>-3.8</x:v>
      </x:c>
      <x:c r="G6" s="8" t="n">
        <x:v>252</x:v>
      </x:c>
      <x:c r="H6" s="8" t="n">
        <x:v>0.39</x:v>
      </x:c>
      <x:c r="I6" s="8" t="n">
        <x:v>0.3</x:v>
      </x:c>
      <x:c r="J6" s="8" t="n">
        <x:v>8</x:v>
      </x:c>
      <x:c r="K6" s="8" t="n">
        <x:v>7</x:v>
      </x:c>
      <x:c r="L6" s="8" t="n">
        <x:v>1.52</x:v>
      </x:c>
    </x:row>
    <x:row r="7">
      <x:c r="A7" s="8" t="n">
        <x:v>0</x:v>
      </x:c>
      <x:c r="B7" s="8" t="str">
        <x:v>R06</x:v>
      </x:c>
      <x:c r="C7" s="8" t="n">
        <x:v>3.34</x:v>
      </x:c>
      <x:c r="D7" s="8" t="n">
        <x:v>3.37</x:v>
      </x:c>
      <x:c r="E7" s="8" t="n">
        <x:v>3.37</x:v>
      </x:c>
      <x:c r="F7" s="8" t="n">
        <x:v>-1.3</x:v>
      </x:c>
      <x:c r="G7" s="8" t="n">
        <x:v>203</x:v>
      </x:c>
      <x:c r="H7" s="8" t="n">
        <x:v>0.42</x:v>
      </x:c>
      <x:c r="I7" s="8" t="n">
        <x:v>0.35</x:v>
      </x:c>
      <x:c r="J7" s="8" t="n">
        <x:v>10.962</x:v>
      </x:c>
      <x:c r="K7" s="8" t="n">
        <x:v>-5</x:v>
      </x:c>
      <x:c r="L7" s="8" t="n">
        <x:v>1.994</x:v>
      </x:c>
    </x:row>
    <x:row r="8">
      <x:c r="A8" s="8" t="n">
        <x:v>0</x:v>
      </x:c>
      <x:c r="B8" s="8" t="str">
        <x:v>R07</x:v>
      </x:c>
      <x:c r="C8" s="8" t="n">
        <x:v>3.47</x:v>
      </x:c>
      <x:c r="D8" s="8" t="n">
        <x:v>3.38</x:v>
      </x:c>
      <x:c r="E8" s="8" t="n">
        <x:v>3.35</x:v>
      </x:c>
      <x:c r="F8" s="8" t="n">
        <x:v>-1.4</x:v>
      </x:c>
      <x:c r="G8" s="8" t="n">
        <x:v>207</x:v>
      </x:c>
      <x:c r="H8" s="8" t="n">
        <x:v>0.43</x:v>
      </x:c>
      <x:c r="I8" s="8" t="n">
        <x:v>0.34</x:v>
      </x:c>
      <x:c r="J8" s="8" t="n">
        <x:v>10.962</x:v>
      </x:c>
      <x:c r="K8" s="8" t="n">
        <x:v>-2</x:v>
      </x:c>
      <x:c r="L8" s="8" t="n">
        <x:v>1.994</x:v>
      </x:c>
    </x:row>
    <x:row r="9">
      <x:c r="A9" s="8" t="n">
        <x:v>0</x:v>
      </x:c>
      <x:c r="B9" s="8" t="str">
        <x:v>R08</x:v>
      </x:c>
      <x:c r="C9" s="8" t="n">
        <x:v>3.55</x:v>
      </x:c>
      <x:c r="D9" s="8" t="n">
        <x:v>3.29</x:v>
      </x:c>
      <x:c r="E9" s="8" t="n">
        <x:v>3.3</x:v>
      </x:c>
      <x:c r="F9" s="8" t="n">
        <x:v>-1.3</x:v>
      </x:c>
      <x:c r="G9" s="8" t="n">
        <x:v>207</x:v>
      </x:c>
      <x:c r="H9" s="8" t="n">
        <x:v>0.44</x:v>
      </x:c>
      <x:c r="I9" s="8" t="n">
        <x:v>0.35</x:v>
      </x:c>
      <x:c r="J9" s="8" t="n">
        <x:v>10.962</x:v>
      </x:c>
      <x:c r="K9" s="8" t="n">
        <x:v>1</x:v>
      </x:c>
      <x:c r="L9" s="8" t="n">
        <x:v>1.994</x:v>
      </x:c>
    </x:row>
    <x:row r="10">
      <x:c r="A10" s="8" t="n">
        <x:v>0</x:v>
      </x:c>
      <x:c r="B10" s="8" t="str">
        <x:v>R09</x:v>
      </x:c>
      <x:c r="C10" s="8" t="n">
        <x:v>3.54</x:v>
      </x:c>
      <x:c r="D10" s="8" t="n">
        <x:v>3.33</x:v>
      </x:c>
      <x:c r="E10" s="8" t="n">
        <x:v>3.34</x:v>
      </x:c>
      <x:c r="F10" s="8" t="n">
        <x:v>-1</x:v>
      </x:c>
      <x:c r="G10" s="8" t="n">
        <x:v>203</x:v>
      </x:c>
      <x:c r="H10" s="8" t="n">
        <x:v>0.43</x:v>
      </x:c>
      <x:c r="I10" s="8" t="n">
        <x:v>0.36</x:v>
      </x:c>
      <x:c r="J10" s="8" t="n">
        <x:v>10.962</x:v>
      </x:c>
      <x:c r="K10" s="8" t="n">
        <x:v>4</x:v>
      </x:c>
      <x:c r="L10" s="8" t="n">
        <x:v>1.994</x:v>
      </x:c>
    </x:row>
    <x:row r="11">
      <x:c r="A11" s="8" t="n">
        <x:v>0</x:v>
      </x:c>
      <x:c r="B11" s="8" t="str">
        <x:v>R10</x:v>
      </x:c>
      <x:c r="C11" s="8" t="n">
        <x:v>3.37</x:v>
      </x:c>
      <x:c r="D11" s="8" t="n">
        <x:v>3.26</x:v>
      </x:c>
      <x:c r="E11" s="8" t="n">
        <x:v>3.29</x:v>
      </x:c>
      <x:c r="F11" s="8" t="n">
        <x:v>-2.8</x:v>
      </x:c>
      <x:c r="G11" s="8" t="n">
        <x:v>226</x:v>
      </x:c>
      <x:c r="H11" s="8" t="n">
        <x:v>0.41</x:v>
      </x:c>
      <x:c r="I11" s="8" t="n">
        <x:v>0.28</x:v>
      </x:c>
      <x:c r="J11" s="8" t="n">
        <x:v>10.962</x:v>
      </x:c>
      <x:c r="K11" s="8" t="n">
        <x:v>7</x:v>
      </x:c>
      <x:c r="L11" s="8" t="n">
        <x:v>1.994</x:v>
      </x:c>
    </x:row>
    <x:row r="12">
      <x:c r="A12" s="8" t="n">
        <x:v>0</x:v>
      </x:c>
      <x:c r="B12" s="8" t="str">
        <x:v>R11</x:v>
      </x:c>
      <x:c r="C12" s="8" t="n">
        <x:v>3.6</x:v>
      </x:c>
      <x:c r="D12" s="8" t="n">
        <x:v>3.31</x:v>
      </x:c>
      <x:c r="E12" s="8" t="n">
        <x:v>3.25</x:v>
      </x:c>
      <x:c r="F12" s="8" t="n">
        <x:v>0.2</x:v>
      </x:c>
      <x:c r="G12" s="8" t="n">
        <x:v>187</x:v>
      </x:c>
      <x:c r="H12" s="8" t="n">
        <x:v>0.45</x:v>
      </x:c>
      <x:c r="I12" s="8" t="n">
        <x:v>0.41</x:v>
      </x:c>
      <x:c r="J12" s="8" t="n">
        <x:v>13.925</x:v>
      </x:c>
      <x:c r="K12" s="8" t="n">
        <x:v>-5</x:v>
      </x:c>
      <x:c r="L12" s="8" t="n">
        <x:v>2.468</x:v>
      </x:c>
    </x:row>
    <x:row r="13">
      <x:c r="A13" s="8" t="n">
        <x:v>0</x:v>
      </x:c>
      <x:c r="B13" s="8" t="str">
        <x:v>R12</x:v>
      </x:c>
      <x:c r="C13" s="8" t="n">
        <x:v>3.61</x:v>
      </x:c>
      <x:c r="D13" s="8" t="n">
        <x:v>3.32</x:v>
      </x:c>
      <x:c r="E13" s="8" t="n">
        <x:v>3.3</x:v>
      </x:c>
      <x:c r="F13" s="8" t="n">
        <x:v>0</x:v>
      </x:c>
      <x:c r="G13" s="8" t="n">
        <x:v>188</x:v>
      </x:c>
      <x:c r="H13" s="8" t="n">
        <x:v>0.45</x:v>
      </x:c>
      <x:c r="I13" s="8" t="n">
        <x:v>0.38</x:v>
      </x:c>
      <x:c r="J13" s="8" t="n">
        <x:v>13.925</x:v>
      </x:c>
      <x:c r="K13" s="8" t="n">
        <x:v>-2</x:v>
      </x:c>
      <x:c r="L13" s="8" t="n">
        <x:v>2.468</x:v>
      </x:c>
    </x:row>
    <x:row r="14">
      <x:c r="A14" s="8" t="n">
        <x:v>0</x:v>
      </x:c>
      <x:c r="B14" s="8" t="str">
        <x:v>R13</x:v>
      </x:c>
      <x:c r="C14" s="8" t="n">
        <x:v>3.56</x:v>
      </x:c>
      <x:c r="D14" s="8" t="n">
        <x:v>3.41</x:v>
      </x:c>
      <x:c r="E14" s="8" t="n">
        <x:v>3.35</x:v>
      </x:c>
      <x:c r="F14" s="8" t="n">
        <x:v>0</x:v>
      </x:c>
      <x:c r="G14" s="8" t="n">
        <x:v>189</x:v>
      </x:c>
      <x:c r="H14" s="8" t="n">
        <x:v>0.44</x:v>
      </x:c>
      <x:c r="I14" s="8" t="n">
        <x:v>0.38</x:v>
      </x:c>
      <x:c r="J14" s="8" t="n">
        <x:v>13.925</x:v>
      </x:c>
      <x:c r="K14" s="8" t="n">
        <x:v>1</x:v>
      </x:c>
      <x:c r="L14" s="8" t="n">
        <x:v>2.468</x:v>
      </x:c>
    </x:row>
    <x:row r="15">
      <x:c r="A15" s="8" t="n">
        <x:v>0</x:v>
      </x:c>
      <x:c r="B15" s="8" t="str">
        <x:v>R14</x:v>
      </x:c>
      <x:c r="C15" s="8" t="n">
        <x:v>3.44</x:v>
      </x:c>
      <x:c r="D15" s="8" t="n">
        <x:v>3.42</x:v>
      </x:c>
      <x:c r="E15" s="8" t="n">
        <x:v>3.33</x:v>
      </x:c>
      <x:c r="F15" s="8" t="n">
        <x:v>0.3</x:v>
      </x:c>
      <x:c r="G15" s="8" t="n">
        <x:v>184</x:v>
      </x:c>
      <x:c r="H15" s="8" t="n">
        <x:v>0.45</x:v>
      </x:c>
      <x:c r="I15" s="8" t="n">
        <x:v>0.39</x:v>
      </x:c>
      <x:c r="J15" s="8" t="n">
        <x:v>13.925</x:v>
      </x:c>
      <x:c r="K15" s="8" t="n">
        <x:v>4</x:v>
      </x:c>
      <x:c r="L15" s="8" t="n">
        <x:v>2.468</x:v>
      </x:c>
    </x:row>
    <x:row r="16">
      <x:c r="A16" s="8" t="n">
        <x:v>0</x:v>
      </x:c>
      <x:c r="B16" s="8" t="str">
        <x:v>R15</x:v>
      </x:c>
      <x:c r="C16" s="8" t="n">
        <x:v>3.46</x:v>
      </x:c>
      <x:c r="D16" s="8" t="n">
        <x:v>3.27</x:v>
      </x:c>
      <x:c r="E16" s="8" t="n">
        <x:v>3.18</x:v>
      </x:c>
      <x:c r="F16" s="8" t="n">
        <x:v>-0.8</x:v>
      </x:c>
      <x:c r="G16" s="8" t="n">
        <x:v>203</x:v>
      </x:c>
      <x:c r="H16" s="8" t="n">
        <x:v>0.43</x:v>
      </x:c>
      <x:c r="I16" s="8" t="n">
        <x:v>0.34</x:v>
      </x:c>
      <x:c r="J16" s="8" t="n">
        <x:v>13.925</x:v>
      </x:c>
      <x:c r="K16" s="8" t="n">
        <x:v>7</x:v>
      </x:c>
      <x:c r="L16" s="8" t="n">
        <x:v>2.468</x:v>
      </x:c>
    </x:row>
    <x:row r="17">
      <x:c r="A17" s="8" t="n">
        <x:v>0</x:v>
      </x:c>
      <x:c r="B17" s="8" t="str">
        <x:v>R16</x:v>
      </x:c>
      <x:c r="C17" s="8" t="n">
        <x:v>3.39</x:v>
      </x:c>
      <x:c r="D17" s="8" t="n">
        <x:v>3.31</x:v>
      </x:c>
      <x:c r="E17" s="8" t="n">
        <x:v>3.29</x:v>
      </x:c>
      <x:c r="F17" s="8" t="n">
        <x:v>0</x:v>
      </x:c>
      <x:c r="G17" s="8" t="n">
        <x:v>185</x:v>
      </x:c>
      <x:c r="H17" s="8" t="n">
        <x:v>0.46</x:v>
      </x:c>
      <x:c r="I17" s="8" t="n">
        <x:v>0.38</x:v>
      </x:c>
      <x:c r="J17" s="8" t="n">
        <x:v>16.887</x:v>
      </x:c>
      <x:c r="K17" s="8" t="n">
        <x:v>-5</x:v>
      </x:c>
      <x:c r="L17" s="8" t="n">
        <x:v>2.942</x:v>
      </x:c>
    </x:row>
    <x:row r="18">
      <x:c r="A18" s="8" t="n">
        <x:v>0</x:v>
      </x:c>
      <x:c r="B18" s="8" t="str">
        <x:v>R17</x:v>
      </x:c>
      <x:c r="C18" s="8" t="n">
        <x:v>3.36</x:v>
      </x:c>
      <x:c r="D18" s="8" t="n">
        <x:v>3.41</x:v>
      </x:c>
      <x:c r="E18" s="8" t="n">
        <x:v>3.31</x:v>
      </x:c>
      <x:c r="F18" s="8" t="n">
        <x:v>0.5</x:v>
      </x:c>
      <x:c r="G18" s="8" t="n">
        <x:v>179</x:v>
      </x:c>
      <x:c r="H18" s="8" t="n">
        <x:v>0.47</x:v>
      </x:c>
      <x:c r="I18" s="8" t="n">
        <x:v>0.4</x:v>
      </x:c>
      <x:c r="J18" s="8" t="n">
        <x:v>16.887</x:v>
      </x:c>
      <x:c r="K18" s="8" t="n">
        <x:v>-2</x:v>
      </x:c>
      <x:c r="L18" s="8" t="n">
        <x:v>2.942</x:v>
      </x:c>
    </x:row>
    <x:row r="19">
      <x:c r="A19" s="8" t="n">
        <x:v>0</x:v>
      </x:c>
      <x:c r="B19" s="8" t="str">
        <x:v>R18</x:v>
      </x:c>
      <x:c r="C19" s="8" t="n">
        <x:v>3.23</x:v>
      </x:c>
      <x:c r="D19" s="8" t="n">
        <x:v>3.35</x:v>
      </x:c>
      <x:c r="E19" s="8" t="n">
        <x:v>3.3</x:v>
      </x:c>
      <x:c r="F19" s="8" t="n">
        <x:v>0.5</x:v>
      </x:c>
      <x:c r="G19" s="8" t="n">
        <x:v>177</x:v>
      </x:c>
      <x:c r="H19" s="8" t="n">
        <x:v>0.47</x:v>
      </x:c>
      <x:c r="I19" s="8" t="n">
        <x:v>0.39</x:v>
      </x:c>
      <x:c r="J19" s="8" t="n">
        <x:v>16.887</x:v>
      </x:c>
      <x:c r="K19" s="8" t="n">
        <x:v>1</x:v>
      </x:c>
      <x:c r="L19" s="8" t="n">
        <x:v>2.942</x:v>
      </x:c>
    </x:row>
    <x:row r="20">
      <x:c r="A20" s="8" t="n">
        <x:v>0</x:v>
      </x:c>
      <x:c r="B20" s="8" t="str">
        <x:v>R19</x:v>
      </x:c>
      <x:c r="C20" s="8" t="n">
        <x:v>3.33</x:v>
      </x:c>
      <x:c r="D20" s="8" t="n">
        <x:v>3.47</x:v>
      </x:c>
      <x:c r="E20" s="8" t="n">
        <x:v>3.31</x:v>
      </x:c>
      <x:c r="F20" s="8" t="n">
        <x:v>0.6</x:v>
      </x:c>
      <x:c r="G20" s="8" t="n">
        <x:v>174</x:v>
      </x:c>
      <x:c r="H20" s="8" t="n">
        <x:v>0.47</x:v>
      </x:c>
      <x:c r="I20" s="8" t="n">
        <x:v>0.42</x:v>
      </x:c>
      <x:c r="J20" s="8" t="n">
        <x:v>16.887</x:v>
      </x:c>
      <x:c r="K20" s="8" t="n">
        <x:v>4</x:v>
      </x:c>
      <x:c r="L20" s="8" t="n">
        <x:v>2.942</x:v>
      </x:c>
    </x:row>
    <x:row r="21">
      <x:c r="A21" s="8" t="n">
        <x:v>0</x:v>
      </x:c>
      <x:c r="B21" s="8" t="str">
        <x:v>R20</x:v>
      </x:c>
      <x:c r="C21" s="8" t="n">
        <x:v>3.44</x:v>
      </x:c>
      <x:c r="D21" s="8" t="n">
        <x:v>3.48</x:v>
      </x:c>
      <x:c r="E21" s="8" t="n">
        <x:v>3.34</x:v>
      </x:c>
      <x:c r="F21" s="8" t="n">
        <x:v>0.3</x:v>
      </x:c>
      <x:c r="G21" s="8" t="n">
        <x:v>181</x:v>
      </x:c>
      <x:c r="H21" s="8" t="n">
        <x:v>0.47</x:v>
      </x:c>
      <x:c r="I21" s="8" t="n">
        <x:v>0.39</x:v>
      </x:c>
      <x:c r="J21" s="8" t="n">
        <x:v>16.887</x:v>
      </x:c>
      <x:c r="K21" s="8" t="n">
        <x:v>7</x:v>
      </x:c>
      <x:c r="L21" s="8" t="n">
        <x:v>2.942</x:v>
      </x:c>
    </x:row>
    <x:row r="22">
      <x:c r="A22" s="8" t="n">
        <x:v>0</x:v>
      </x:c>
      <x:c r="B22" s="8" t="str">
        <x:v>R21</x:v>
      </x:c>
      <x:c r="C22" s="8" t="n">
        <x:v>3.65</x:v>
      </x:c>
      <x:c r="D22" s="8" t="n">
        <x:v>3.35</x:v>
      </x:c>
      <x:c r="E22" s="8" t="n">
        <x:v>3.31</x:v>
      </x:c>
      <x:c r="F22" s="8" t="n">
        <x:v>0.5</x:v>
      </x:c>
      <x:c r="G22" s="8" t="n">
        <x:v>178</x:v>
      </x:c>
      <x:c r="H22" s="8" t="n">
        <x:v>0.5</x:v>
      </x:c>
      <x:c r="I22" s="8" t="n">
        <x:v>0.42</x:v>
      </x:c>
      <x:c r="J22" s="8" t="n">
        <x:v>19.849</x:v>
      </x:c>
      <x:c r="K22" s="8" t="n">
        <x:v>-5</x:v>
      </x:c>
      <x:c r="L22" s="8" t="n">
        <x:v>3.416</x:v>
      </x:c>
    </x:row>
    <x:row r="23">
      <x:c r="A23" s="8" t="n">
        <x:v>0</x:v>
      </x:c>
      <x:c r="B23" s="8" t="str">
        <x:v>R22</x:v>
      </x:c>
      <x:c r="C23" s="8" t="n">
        <x:v>3.4</x:v>
      </x:c>
      <x:c r="D23" s="8" t="n">
        <x:v>3.35</x:v>
      </x:c>
      <x:c r="E23" s="8" t="n">
        <x:v>3.32</x:v>
      </x:c>
      <x:c r="F23" s="8" t="n">
        <x:v>1.1</x:v>
      </x:c>
      <x:c r="G23" s="8" t="n">
        <x:v>169</x:v>
      </x:c>
      <x:c r="H23" s="8" t="n">
        <x:v>0.51</x:v>
      </x:c>
      <x:c r="I23" s="8" t="n">
        <x:v>0.44</x:v>
      </x:c>
      <x:c r="J23" s="8" t="n">
        <x:v>19.849</x:v>
      </x:c>
      <x:c r="K23" s="8" t="n">
        <x:v>-2</x:v>
      </x:c>
      <x:c r="L23" s="8" t="n">
        <x:v>3.416</x:v>
      </x:c>
    </x:row>
    <x:row r="24">
      <x:c r="A24" s="8" t="n">
        <x:v>0</x:v>
      </x:c>
      <x:c r="B24" s="8" t="str">
        <x:v>R23</x:v>
      </x:c>
      <x:c r="C24" s="8" t="n">
        <x:v>3.26</x:v>
      </x:c>
      <x:c r="D24" s="8" t="n">
        <x:v>3.3</x:v>
      </x:c>
      <x:c r="E24" s="8" t="n">
        <x:v>3.24</x:v>
      </x:c>
      <x:c r="F24" s="8" t="n">
        <x:v>0.6</x:v>
      </x:c>
      <x:c r="G24" s="8" t="n">
        <x:v>169</x:v>
      </x:c>
      <x:c r="H24" s="8" t="n">
        <x:v>0.5</x:v>
      </x:c>
      <x:c r="I24" s="8" t="n">
        <x:v>0.41</x:v>
      </x:c>
      <x:c r="J24" s="8" t="n">
        <x:v>19.849</x:v>
      </x:c>
      <x:c r="K24" s="8" t="n">
        <x:v>1</x:v>
      </x:c>
      <x:c r="L24" s="8" t="n">
        <x:v>3.416</x:v>
      </x:c>
    </x:row>
    <x:row r="25">
      <x:c r="A25" s="8" t="n">
        <x:v>0</x:v>
      </x:c>
      <x:c r="B25" s="8" t="str">
        <x:v>R24</x:v>
      </x:c>
      <x:c r="C25" s="8" t="n">
        <x:v>2.96</x:v>
      </x:c>
      <x:c r="D25" s="8" t="n">
        <x:v>3.46</x:v>
      </x:c>
      <x:c r="E25" s="8" t="n">
        <x:v>3.32</x:v>
      </x:c>
      <x:c r="F25" s="8" t="n">
        <x:v>-0.1</x:v>
      </x:c>
      <x:c r="G25" s="8" t="n">
        <x:v>173</x:v>
      </x:c>
      <x:c r="H25" s="8" t="n">
        <x:v>0.49</x:v>
      </x:c>
      <x:c r="I25" s="8" t="n">
        <x:v>0.4</x:v>
      </x:c>
      <x:c r="J25" s="8" t="n">
        <x:v>19.849</x:v>
      </x:c>
      <x:c r="K25" s="8" t="n">
        <x:v>4</x:v>
      </x:c>
      <x:c r="L25" s="8" t="n">
        <x:v>3.416</x:v>
      </x:c>
    </x:row>
    <x:row r="26">
      <x:c r="A26" s="8" t="n">
        <x:v>0</x:v>
      </x:c>
      <x:c r="B26" s="8" t="str">
        <x:v>R25</x:v>
      </x:c>
      <x:c r="C26" s="8" t="n">
        <x:v>3.17</x:v>
      </x:c>
      <x:c r="D26" s="8" t="n">
        <x:v>3.4</x:v>
      </x:c>
      <x:c r="E26" s="8" t="n">
        <x:v>3.35</x:v>
      </x:c>
      <x:c r="F26" s="8" t="n">
        <x:v>0.8</x:v>
      </x:c>
      <x:c r="G26" s="8" t="n">
        <x:v>168</x:v>
      </x:c>
      <x:c r="H26" s="8" t="n">
        <x:v>0.49</x:v>
      </x:c>
      <x:c r="I26" s="8" t="n">
        <x:v>0.43</x:v>
      </x:c>
      <x:c r="J26" s="8" t="n">
        <x:v>19.849</x:v>
      </x:c>
      <x:c r="K26" s="8" t="n">
        <x:v>7</x:v>
      </x:c>
      <x:c r="L26" s="8" t="n">
        <x:v>3.416</x:v>
      </x:c>
    </x:row>
    <x:row r="27">
      <x:c r="A27" s="8" t="n">
        <x:v>-8</x:v>
      </x:c>
      <x:c r="B27" s="8" t="str">
        <x:v>R01</x:v>
      </x:c>
      <x:c r="C27" s="8" t="n">
        <x:v>3.53</x:v>
      </x:c>
      <x:c r="D27" s="8" t="n">
        <x:v>3.5</x:v>
      </x:c>
      <x:c r="E27" s="8" t="n">
        <x:v>3.37</x:v>
      </x:c>
      <x:c r="F27" s="8" t="n">
        <x:v>-1.9</x:v>
      </x:c>
      <x:c r="G27" s="8" t="n">
        <x:v>212</x:v>
      </x:c>
      <x:c r="H27" s="8" t="n">
        <x:v>0.42</x:v>
      </x:c>
      <x:c r="I27" s="8" t="n">
        <x:v>0.37</x:v>
      </x:c>
      <x:c r="J27" s="8" t="n">
        <x:v>8</x:v>
      </x:c>
      <x:c r="K27" s="8" t="n">
        <x:v>-5</x:v>
      </x:c>
      <x:c r="L27" s="8" t="n">
        <x:v>1.52</x:v>
      </x:c>
    </x:row>
    <x:row r="28">
      <x:c r="A28" s="8" t="n">
        <x:v>-8</x:v>
      </x:c>
      <x:c r="B28" s="8" t="str">
        <x:v>R02</x:v>
      </x:c>
      <x:c r="C28" s="8" t="n">
        <x:v>3.56</x:v>
      </x:c>
      <x:c r="D28" s="8" t="n">
        <x:v>3.39</x:v>
      </x:c>
      <x:c r="E28" s="8" t="n">
        <x:v>3.38</x:v>
      </x:c>
      <x:c r="F28" s="8" t="n">
        <x:v>-2.8</x:v>
      </x:c>
      <x:c r="G28" s="8" t="n">
        <x:v>223</x:v>
      </x:c>
      <x:c r="H28" s="8" t="n">
        <x:v>0.47</x:v>
      </x:c>
      <x:c r="I28" s="8" t="n">
        <x:v>0.36</x:v>
      </x:c>
      <x:c r="J28" s="8" t="n">
        <x:v>8</x:v>
      </x:c>
      <x:c r="K28" s="8" t="n">
        <x:v>-2</x:v>
      </x:c>
      <x:c r="L28" s="8" t="n">
        <x:v>1.52</x:v>
      </x:c>
    </x:row>
    <x:row r="29">
      <x:c r="A29" s="8" t="n">
        <x:v>-8</x:v>
      </x:c>
      <x:c r="B29" s="8" t="str">
        <x:v>R03</x:v>
      </x:c>
      <x:c r="C29" s="8" t="n">
        <x:v>3.48</x:v>
      </x:c>
      <x:c r="D29" s="8" t="n">
        <x:v>3.39</x:v>
      </x:c>
      <x:c r="E29" s="8" t="n">
        <x:v>3.37</x:v>
      </x:c>
      <x:c r="F29" s="8" t="n">
        <x:v>-3.5</x:v>
      </x:c>
      <x:c r="G29" s="8" t="n">
        <x:v>228</x:v>
      </x:c>
      <x:c r="H29" s="8" t="n">
        <x:v>0.48</x:v>
      </x:c>
      <x:c r="I29" s="8" t="n">
        <x:v>0.33</x:v>
      </x:c>
      <x:c r="J29" s="8" t="n">
        <x:v>8</x:v>
      </x:c>
      <x:c r="K29" s="8" t="n">
        <x:v>1</x:v>
      </x:c>
      <x:c r="L29" s="8" t="n">
        <x:v>1.52</x:v>
      </x:c>
    </x:row>
    <x:row r="30">
      <x:c r="A30" s="8" t="n">
        <x:v>-8</x:v>
      </x:c>
      <x:c r="B30" s="8" t="str">
        <x:v>R04</x:v>
      </x:c>
      <x:c r="C30" s="8" t="n">
        <x:v>3.35</x:v>
      </x:c>
      <x:c r="D30" s="8" t="n">
        <x:v>3.35</x:v>
      </x:c>
      <x:c r="E30" s="8" t="n">
        <x:v>3.37</x:v>
      </x:c>
      <x:c r="F30" s="8" t="n">
        <x:v>-2.7</x:v>
      </x:c>
      <x:c r="G30" s="8" t="n">
        <x:v>208</x:v>
      </x:c>
      <x:c r="H30" s="8" t="n">
        <x:v>0.42</x:v>
      </x:c>
      <x:c r="I30" s="8" t="n">
        <x:v>0.35</x:v>
      </x:c>
      <x:c r="J30" s="8" t="n">
        <x:v>8</x:v>
      </x:c>
      <x:c r="K30" s="8" t="n">
        <x:v>4</x:v>
      </x:c>
      <x:c r="L30" s="8" t="n">
        <x:v>1.52</x:v>
      </x:c>
    </x:row>
    <x:row r="31">
      <x:c r="A31" s="8" t="n">
        <x:v>-8</x:v>
      </x:c>
      <x:c r="B31" s="8" t="str">
        <x:v>R05</x:v>
      </x:c>
      <x:c r="C31" s="8" t="n">
        <x:v>3.7</x:v>
      </x:c>
      <x:c r="D31" s="8" t="n">
        <x:v>3.17</x:v>
      </x:c>
      <x:c r="E31" s="8" t="n">
        <x:v>3.19</x:v>
      </x:c>
      <x:c r="F31" s="8" t="n">
        <x:v>-2.1</x:v>
      </x:c>
      <x:c r="G31" s="8" t="n">
        <x:v>221</x:v>
      </x:c>
      <x:c r="H31" s="8" t="n">
        <x:v>0.41</x:v>
      </x:c>
      <x:c r="I31" s="8" t="n">
        <x:v>0.35</x:v>
      </x:c>
      <x:c r="J31" s="8" t="n">
        <x:v>8</x:v>
      </x:c>
      <x:c r="K31" s="8" t="n">
        <x:v>7</x:v>
      </x:c>
      <x:c r="L31" s="8" t="n">
        <x:v>1.52</x:v>
      </x:c>
    </x:row>
    <x:row r="32">
      <x:c r="A32" s="8" t="n">
        <x:v>-8</x:v>
      </x:c>
      <x:c r="B32" s="8" t="str">
        <x:v>R06</x:v>
      </x:c>
      <x:c r="C32" s="8" t="n">
        <x:v>3.26</x:v>
      </x:c>
      <x:c r="D32" s="8" t="n">
        <x:v>3.33</x:v>
      </x:c>
      <x:c r="E32" s="8" t="n">
        <x:v>3.33</x:v>
      </x:c>
      <x:c r="F32" s="8" t="n">
        <x:v>0.1</x:v>
      </x:c>
      <x:c r="G32" s="8" t="n">
        <x:v>171</x:v>
      </x:c>
      <x:c r="H32" s="8" t="n">
        <x:v>0.44</x:v>
      </x:c>
      <x:c r="I32" s="8" t="n">
        <x:v>0.41</x:v>
      </x:c>
      <x:c r="J32" s="8" t="n">
        <x:v>10.962</x:v>
      </x:c>
      <x:c r="K32" s="8" t="n">
        <x:v>-5</x:v>
      </x:c>
      <x:c r="L32" s="8" t="n">
        <x:v>1.994</x:v>
      </x:c>
    </x:row>
    <x:row r="33">
      <x:c r="A33" s="8" t="n">
        <x:v>-8</x:v>
      </x:c>
      <x:c r="B33" s="8" t="str">
        <x:v>R07</x:v>
      </x:c>
      <x:c r="C33" s="8" t="n">
        <x:v>3.43</x:v>
      </x:c>
      <x:c r="D33" s="8" t="n">
        <x:v>3.33</x:v>
      </x:c>
      <x:c r="E33" s="8" t="n">
        <x:v>3.35</x:v>
      </x:c>
      <x:c r="F33" s="8" t="n">
        <x:v>0.5</x:v>
      </x:c>
      <x:c r="G33" s="8" t="n">
        <x:v>167</x:v>
      </x:c>
      <x:c r="H33" s="8" t="n">
        <x:v>0.46</x:v>
      </x:c>
      <x:c r="I33" s="8" t="n">
        <x:v>0.43</x:v>
      </x:c>
      <x:c r="J33" s="8" t="n">
        <x:v>10.962</x:v>
      </x:c>
      <x:c r="K33" s="8" t="n">
        <x:v>-2</x:v>
      </x:c>
      <x:c r="L33" s="8" t="n">
        <x:v>1.994</x:v>
      </x:c>
    </x:row>
    <x:row r="34">
      <x:c r="A34" s="8" t="n">
        <x:v>-8</x:v>
      </x:c>
      <x:c r="B34" s="8" t="str">
        <x:v>R08</x:v>
      </x:c>
      <x:c r="C34" s="8" t="n">
        <x:v>3.32</x:v>
      </x:c>
      <x:c r="D34" s="8" t="n">
        <x:v>3.32</x:v>
      </x:c>
      <x:c r="E34" s="8" t="n">
        <x:v>3.33</x:v>
      </x:c>
      <x:c r="F34" s="8" t="n">
        <x:v>0.6</x:v>
      </x:c>
      <x:c r="G34" s="8" t="n">
        <x:v>160</x:v>
      </x:c>
      <x:c r="H34" s="8" t="n">
        <x:v>0.47</x:v>
      </x:c>
      <x:c r="I34" s="8" t="n">
        <x:v>0.43</x:v>
      </x:c>
      <x:c r="J34" s="8" t="n">
        <x:v>10.962</x:v>
      </x:c>
      <x:c r="K34" s="8" t="n">
        <x:v>1</x:v>
      </x:c>
      <x:c r="L34" s="8" t="n">
        <x:v>1.994</x:v>
      </x:c>
    </x:row>
    <x:row r="35">
      <x:c r="A35" s="8" t="n">
        <x:v>-8</x:v>
      </x:c>
      <x:c r="B35" s="8" t="str">
        <x:v>R09</x:v>
      </x:c>
      <x:c r="C35" s="8" t="n">
        <x:v>3.45</x:v>
      </x:c>
      <x:c r="D35" s="8" t="n">
        <x:v>3.36</x:v>
      </x:c>
      <x:c r="E35" s="8" t="n">
        <x:v>3.36</x:v>
      </x:c>
      <x:c r="F35" s="8" t="n">
        <x:v>0.6</x:v>
      </x:c>
      <x:c r="G35" s="8" t="n">
        <x:v>164</x:v>
      </x:c>
      <x:c r="H35" s="8" t="n">
        <x:v>0.46</x:v>
      </x:c>
      <x:c r="I35" s="8" t="n">
        <x:v>0.43</x:v>
      </x:c>
      <x:c r="J35" s="8" t="n">
        <x:v>10.962</x:v>
      </x:c>
      <x:c r="K35" s="8" t="n">
        <x:v>4</x:v>
      </x:c>
      <x:c r="L35" s="8" t="n">
        <x:v>1.994</x:v>
      </x:c>
    </x:row>
    <x:row r="36">
      <x:c r="A36" s="8" t="n">
        <x:v>-8</x:v>
      </x:c>
      <x:c r="B36" s="8" t="str">
        <x:v>R10</x:v>
      </x:c>
      <x:c r="C36" s="8" t="n">
        <x:v>3.3</x:v>
      </x:c>
      <x:c r="D36" s="8" t="n">
        <x:v>3.29</x:v>
      </x:c>
      <x:c r="E36" s="8" t="n">
        <x:v>3.32</x:v>
      </x:c>
      <x:c r="F36" s="8" t="n">
        <x:v>-1.3</x:v>
      </x:c>
      <x:c r="G36" s="8" t="n">
        <x:v>195</x:v>
      </x:c>
      <x:c r="H36" s="8" t="n">
        <x:v>0.42</x:v>
      </x:c>
      <x:c r="I36" s="8" t="n">
        <x:v>0.34</x:v>
      </x:c>
      <x:c r="J36" s="8" t="n">
        <x:v>10.962</x:v>
      </x:c>
      <x:c r="K36" s="8" t="n">
        <x:v>7</x:v>
      </x:c>
      <x:c r="L36" s="8" t="n">
        <x:v>1.994</x:v>
      </x:c>
    </x:row>
    <x:row r="37">
      <x:c r="A37" s="8" t="n">
        <x:v>-8</x:v>
      </x:c>
      <x:c r="B37" s="8" t="str">
        <x:v>R11</x:v>
      </x:c>
      <x:c r="C37" s="8" t="n">
        <x:v>3.56</x:v>
      </x:c>
      <x:c r="D37" s="8" t="n">
        <x:v>3.3</x:v>
      </x:c>
      <x:c r="E37" s="8" t="n">
        <x:v>3.24</x:v>
      </x:c>
      <x:c r="F37" s="8" t="n">
        <x:v>1.2</x:v>
      </x:c>
      <x:c r="G37" s="8" t="n">
        <x:v>164</x:v>
      </x:c>
      <x:c r="H37" s="8" t="n">
        <x:v>0.49</x:v>
      </x:c>
      <x:c r="I37" s="8" t="n">
        <x:v>0.45</x:v>
      </x:c>
      <x:c r="J37" s="8" t="n">
        <x:v>13.925</x:v>
      </x:c>
      <x:c r="K37" s="8" t="n">
        <x:v>-5</x:v>
      </x:c>
      <x:c r="L37" s="8" t="n">
        <x:v>2.468</x:v>
      </x:c>
    </x:row>
    <x:row r="38">
      <x:c r="A38" s="8" t="n">
        <x:v>-8</x:v>
      </x:c>
      <x:c r="B38" s="8" t="str">
        <x:v>R12</x:v>
      </x:c>
      <x:c r="C38" s="8" t="n">
        <x:v>3.54</x:v>
      </x:c>
      <x:c r="D38" s="8" t="n">
        <x:v>3.36</x:v>
      </x:c>
      <x:c r="E38" s="8" t="n">
        <x:v>3.34</x:v>
      </x:c>
      <x:c r="F38" s="8" t="n">
        <x:v>1.4</x:v>
      </x:c>
      <x:c r="G38" s="8" t="n">
        <x:v>158</x:v>
      </x:c>
      <x:c r="H38" s="8" t="n">
        <x:v>0.51</x:v>
      </x:c>
      <x:c r="I38" s="8" t="n">
        <x:v>0.43</x:v>
      </x:c>
      <x:c r="J38" s="8" t="n">
        <x:v>13.925</x:v>
      </x:c>
      <x:c r="K38" s="8" t="n">
        <x:v>-2</x:v>
      </x:c>
      <x:c r="L38" s="8" t="n">
        <x:v>2.468</x:v>
      </x:c>
    </x:row>
    <x:row r="39">
      <x:c r="A39" s="8" t="n">
        <x:v>-8</x:v>
      </x:c>
      <x:c r="B39" s="8" t="str">
        <x:v>R13</x:v>
      </x:c>
      <x:c r="C39" s="8" t="n">
        <x:v>3.47</x:v>
      </x:c>
      <x:c r="D39" s="8" t="n">
        <x:v>3.47</x:v>
      </x:c>
      <x:c r="E39" s="8" t="n">
        <x:v>3.39</x:v>
      </x:c>
      <x:c r="F39" s="8" t="n">
        <x:v>1.6</x:v>
      </x:c>
      <x:c r="G39" s="8" t="n">
        <x:v>156</x:v>
      </x:c>
      <x:c r="H39" s="8" t="n">
        <x:v>0.52</x:v>
      </x:c>
      <x:c r="I39" s="8" t="n">
        <x:v>0.44</x:v>
      </x:c>
      <x:c r="J39" s="8" t="n">
        <x:v>13.925</x:v>
      </x:c>
      <x:c r="K39" s="8" t="n">
        <x:v>1</x:v>
      </x:c>
      <x:c r="L39" s="8" t="n">
        <x:v>2.468</x:v>
      </x:c>
    </x:row>
    <x:row r="40">
      <x:c r="A40" s="8" t="n">
        <x:v>-8</x:v>
      </x:c>
      <x:c r="B40" s="8" t="str">
        <x:v>R14</x:v>
      </x:c>
      <x:c r="C40" s="8" t="n">
        <x:v>3.38</x:v>
      </x:c>
      <x:c r="D40" s="8" t="n">
        <x:v>3.43</x:v>
      </x:c>
      <x:c r="E40" s="8" t="n">
        <x:v>3.35</x:v>
      </x:c>
      <x:c r="F40" s="8" t="n">
        <x:v>1.5</x:v>
      </x:c>
      <x:c r="G40" s="8" t="n">
        <x:v>158</x:v>
      </x:c>
      <x:c r="H40" s="8" t="n">
        <x:v>0.5</x:v>
      </x:c>
      <x:c r="I40" s="8" t="n">
        <x:v>0.43</x:v>
      </x:c>
      <x:c r="J40" s="8" t="n">
        <x:v>13.925</x:v>
      </x:c>
      <x:c r="K40" s="8" t="n">
        <x:v>4</x:v>
      </x:c>
      <x:c r="L40" s="8" t="n">
        <x:v>2.468</x:v>
      </x:c>
    </x:row>
    <x:row r="41">
      <x:c r="A41" s="8" t="n">
        <x:v>-8</x:v>
      </x:c>
      <x:c r="B41" s="8" t="str">
        <x:v>R15</x:v>
      </x:c>
      <x:c r="C41" s="8" t="n">
        <x:v>3.42</x:v>
      </x:c>
      <x:c r="D41" s="8" t="n">
        <x:v>3.27</x:v>
      </x:c>
      <x:c r="E41" s="8" t="n">
        <x:v>3.21</x:v>
      </x:c>
      <x:c r="F41" s="8" t="n">
        <x:v>0.2</x:v>
      </x:c>
      <x:c r="G41" s="8" t="n">
        <x:v>178</x:v>
      </x:c>
      <x:c r="H41" s="8" t="n">
        <x:v>0.46</x:v>
      </x:c>
      <x:c r="I41" s="8" t="n">
        <x:v>0.38</x:v>
      </x:c>
      <x:c r="J41" s="8" t="n">
        <x:v>13.925</x:v>
      </x:c>
      <x:c r="K41" s="8" t="n">
        <x:v>7</x:v>
      </x:c>
      <x:c r="L41" s="8" t="n">
        <x:v>2.468</x:v>
      </x:c>
    </x:row>
    <x:row r="42">
      <x:c r="A42" s="8" t="n">
        <x:v>-8</x:v>
      </x:c>
      <x:c r="B42" s="8" t="str">
        <x:v>R16</x:v>
      </x:c>
      <x:c r="C42" s="8" t="n">
        <x:v>3.39</x:v>
      </x:c>
      <x:c r="D42" s="8" t="n">
        <x:v>3.29</x:v>
      </x:c>
      <x:c r="E42" s="8" t="n">
        <x:v>3.27</x:v>
      </x:c>
      <x:c r="F42" s="8" t="n">
        <x:v>0.7</x:v>
      </x:c>
      <x:c r="G42" s="8" t="n">
        <x:v>172</x:v>
      </x:c>
      <x:c r="H42" s="8" t="n">
        <x:v>0.46</x:v>
      </x:c>
      <x:c r="I42" s="8" t="n">
        <x:v>0.4</x:v>
      </x:c>
      <x:c r="J42" s="8" t="n">
        <x:v>16.887</x:v>
      </x:c>
      <x:c r="K42" s="8" t="n">
        <x:v>-5</x:v>
      </x:c>
      <x:c r="L42" s="8" t="n">
        <x:v>2.942</x:v>
      </x:c>
    </x:row>
    <x:row r="43">
      <x:c r="A43" s="8" t="n">
        <x:v>-8</x:v>
      </x:c>
      <x:c r="B43" s="8" t="str">
        <x:v>R17</x:v>
      </x:c>
      <x:c r="C43" s="8" t="n">
        <x:v>3.35</x:v>
      </x:c>
      <x:c r="D43" s="8" t="n">
        <x:v>3.39</x:v>
      </x:c>
      <x:c r="E43" s="8" t="n">
        <x:v>3.32</x:v>
      </x:c>
      <x:c r="F43" s="8" t="n">
        <x:v>1.3</x:v>
      </x:c>
      <x:c r="G43" s="8" t="n">
        <x:v>163</x:v>
      </x:c>
      <x:c r="H43" s="8" t="n">
        <x:v>0.48</x:v>
      </x:c>
      <x:c r="I43" s="8" t="n">
        <x:v>0.42</x:v>
      </x:c>
      <x:c r="J43" s="8" t="n">
        <x:v>16.887</x:v>
      </x:c>
      <x:c r="K43" s="8" t="n">
        <x:v>-2</x:v>
      </x:c>
      <x:c r="L43" s="8" t="n">
        <x:v>2.942</x:v>
      </x:c>
    </x:row>
    <x:row r="44">
      <x:c r="A44" s="8" t="n">
        <x:v>-8</x:v>
      </x:c>
      <x:c r="B44" s="8" t="str">
        <x:v>R18</x:v>
      </x:c>
      <x:c r="C44" s="8" t="n">
        <x:v>3.27</x:v>
      </x:c>
      <x:c r="D44" s="8" t="n">
        <x:v>3.32</x:v>
      </x:c>
      <x:c r="E44" s="8" t="n">
        <x:v>3.31</x:v>
      </x:c>
      <x:c r="F44" s="8" t="n">
        <x:v>1.2</x:v>
      </x:c>
      <x:c r="G44" s="8" t="n">
        <x:v>164</x:v>
      </x:c>
      <x:c r="H44" s="8" t="n">
        <x:v>0.48</x:v>
      </x:c>
      <x:c r="I44" s="8" t="n">
        <x:v>0.41</x:v>
      </x:c>
      <x:c r="J44" s="8" t="n">
        <x:v>16.887</x:v>
      </x:c>
      <x:c r="K44" s="8" t="n">
        <x:v>1</x:v>
      </x:c>
      <x:c r="L44" s="8" t="n">
        <x:v>2.942</x:v>
      </x:c>
    </x:row>
    <x:row r="45">
      <x:c r="A45" s="8" t="n">
        <x:v>-8</x:v>
      </x:c>
      <x:c r="B45" s="8" t="str">
        <x:v>R19</x:v>
      </x:c>
      <x:c r="C45" s="8" t="n">
        <x:v>3.33</x:v>
      </x:c>
      <x:c r="D45" s="8" t="n">
        <x:v>3.46</x:v>
      </x:c>
      <x:c r="E45" s="8" t="n">
        <x:v>3.33</x:v>
      </x:c>
      <x:c r="F45" s="8" t="n">
        <x:v>1.4</x:v>
      </x:c>
      <x:c r="G45" s="8" t="n">
        <x:v>160</x:v>
      </x:c>
      <x:c r="H45" s="8" t="n">
        <x:v>0.47</x:v>
      </x:c>
      <x:c r="I45" s="8" t="n">
        <x:v>0.43</x:v>
      </x:c>
      <x:c r="J45" s="8" t="n">
        <x:v>16.887</x:v>
      </x:c>
      <x:c r="K45" s="8" t="n">
        <x:v>4</x:v>
      </x:c>
      <x:c r="L45" s="8" t="n">
        <x:v>2.942</x:v>
      </x:c>
    </x:row>
    <x:row r="46">
      <x:c r="A46" s="8" t="n">
        <x:v>-8</x:v>
      </x:c>
      <x:c r="B46" s="8" t="str">
        <x:v>R20</x:v>
      </x:c>
      <x:c r="C46" s="8" t="n">
        <x:v>3.38</x:v>
      </x:c>
      <x:c r="D46" s="8" t="n">
        <x:v>3.44</x:v>
      </x:c>
      <x:c r="E46" s="8" t="n">
        <x:v>3.35</x:v>
      </x:c>
      <x:c r="F46" s="8" t="n">
        <x:v>0.9</x:v>
      </x:c>
      <x:c r="G46" s="8" t="n">
        <x:v>169</x:v>
      </x:c>
      <x:c r="H46" s="8" t="n">
        <x:v>0.46</x:v>
      </x:c>
      <x:c r="I46" s="8" t="n">
        <x:v>0.4</x:v>
      </x:c>
      <x:c r="J46" s="8" t="n">
        <x:v>16.887</x:v>
      </x:c>
      <x:c r="K46" s="8" t="n">
        <x:v>7</x:v>
      </x:c>
      <x:c r="L46" s="8" t="n">
        <x:v>2.942</x:v>
      </x:c>
    </x:row>
    <x:row r="47">
      <x:c r="A47" s="8" t="n">
        <x:v>-8</x:v>
      </x:c>
      <x:c r="B47" s="8" t="str">
        <x:v>R21</x:v>
      </x:c>
      <x:c r="C47" s="8" t="n">
        <x:v>3.58</x:v>
      </x:c>
      <x:c r="D47" s="8" t="n">
        <x:v>3.3</x:v>
      </x:c>
      <x:c r="E47" s="8" t="n">
        <x:v>3.28</x:v>
      </x:c>
      <x:c r="F47" s="8" t="n">
        <x:v>0.6</x:v>
      </x:c>
      <x:c r="G47" s="8" t="n">
        <x:v>176</x:v>
      </x:c>
      <x:c r="H47" s="8" t="n">
        <x:v>0.49</x:v>
      </x:c>
      <x:c r="I47" s="8" t="n">
        <x:v>0.42</x:v>
      </x:c>
      <x:c r="J47" s="8" t="n">
        <x:v>19.849</x:v>
      </x:c>
      <x:c r="K47" s="8" t="n">
        <x:v>-5</x:v>
      </x:c>
      <x:c r="L47" s="8" t="n">
        <x:v>3.416</x:v>
      </x:c>
    </x:row>
    <x:row r="48">
      <x:c r="A48" s="8" t="n">
        <x:v>-8</x:v>
      </x:c>
      <x:c r="B48" s="8" t="str">
        <x:v>R22</x:v>
      </x:c>
      <x:c r="C48" s="8" t="n">
        <x:v>3.4</x:v>
      </x:c>
      <x:c r="D48" s="8" t="n">
        <x:v>3.35</x:v>
      </x:c>
      <x:c r="E48" s="8" t="n">
        <x:v>3.32</x:v>
      </x:c>
      <x:c r="F48" s="8" t="n">
        <x:v>1.4</x:v>
      </x:c>
      <x:c r="G48" s="8" t="n">
        <x:v>164</x:v>
      </x:c>
      <x:c r="H48" s="8" t="n">
        <x:v>0.51</x:v>
      </x:c>
      <x:c r="I48" s="8" t="n">
        <x:v>0.44</x:v>
      </x:c>
      <x:c r="J48" s="8" t="n">
        <x:v>19.849</x:v>
      </x:c>
      <x:c r="K48" s="8" t="n">
        <x:v>-2</x:v>
      </x:c>
      <x:c r="L48" s="8" t="n">
        <x:v>3.416</x:v>
      </x:c>
    </x:row>
    <x:row r="49">
      <x:c r="A49" s="8" t="n">
        <x:v>-8</x:v>
      </x:c>
      <x:c r="B49" s="8" t="str">
        <x:v>R23</x:v>
      </x:c>
      <x:c r="C49" s="8" t="n">
        <x:v>3.25</x:v>
      </x:c>
      <x:c r="D49" s="8" t="n">
        <x:v>3.4</x:v>
      </x:c>
      <x:c r="E49" s="8" t="n">
        <x:v>3.29</x:v>
      </x:c>
      <x:c r="F49" s="8" t="n">
        <x:v>1.1</x:v>
      </x:c>
      <x:c r="G49" s="8" t="n">
        <x:v>163</x:v>
      </x:c>
      <x:c r="H49" s="8" t="n">
        <x:v>0.5</x:v>
      </x:c>
      <x:c r="I49" s="8" t="n">
        <x:v>0.42</x:v>
      </x:c>
      <x:c r="J49" s="8" t="n">
        <x:v>19.849</x:v>
      </x:c>
      <x:c r="K49" s="8" t="n">
        <x:v>1</x:v>
      </x:c>
      <x:c r="L49" s="8" t="n">
        <x:v>3.416</x:v>
      </x:c>
    </x:row>
    <x:row r="50">
      <x:c r="A50" s="8" t="n">
        <x:v>-8</x:v>
      </x:c>
      <x:c r="B50" s="8" t="str">
        <x:v>R24</x:v>
      </x:c>
      <x:c r="C50" s="8" t="n">
        <x:v>3.07</x:v>
      </x:c>
      <x:c r="D50" s="8" t="n">
        <x:v>3.5</x:v>
      </x:c>
      <x:c r="E50" s="8" t="n">
        <x:v>3.35</x:v>
      </x:c>
      <x:c r="F50" s="8" t="n">
        <x:v>0.4</x:v>
      </x:c>
      <x:c r="G50" s="8" t="n">
        <x:v>167</x:v>
      </x:c>
      <x:c r="H50" s="8" t="n">
        <x:v>0.49</x:v>
      </x:c>
      <x:c r="I50" s="8" t="n">
        <x:v>0.41</x:v>
      </x:c>
      <x:c r="J50" s="8" t="n">
        <x:v>19.849</x:v>
      </x:c>
      <x:c r="K50" s="8" t="n">
        <x:v>4</x:v>
      </x:c>
      <x:c r="L50" s="8" t="n">
        <x:v>3.416</x:v>
      </x:c>
    </x:row>
    <x:row r="51">
      <x:c r="A51" s="8" t="n">
        <x:v>-8</x:v>
      </x:c>
      <x:c r="B51" s="8" t="str">
        <x:v>R25</x:v>
      </x:c>
      <x:c r="C51" s="8" t="n">
        <x:v>3.21</x:v>
      </x:c>
      <x:c r="D51" s="8" t="n">
        <x:v>3.5</x:v>
      </x:c>
      <x:c r="E51" s="8" t="n">
        <x:v>3.37</x:v>
      </x:c>
      <x:c r="F51" s="8" t="n">
        <x:v>1.2</x:v>
      </x:c>
      <x:c r="G51" s="8" t="n">
        <x:v>161</x:v>
      </x:c>
      <x:c r="H51" s="8" t="n">
        <x:v>0.49</x:v>
      </x:c>
      <x:c r="I51" s="8" t="n">
        <x:v>0.44</x:v>
      </x:c>
      <x:c r="J51" s="8" t="n">
        <x:v>19.849</x:v>
      </x:c>
      <x:c r="K51" s="8" t="n">
        <x:v>7</x:v>
      </x:c>
      <x:c r="L51" s="8" t="n">
        <x:v>3.416</x:v>
      </x:c>
    </x:row>
    <x:row r="52">
      <x:c r="A52" s="8" t="n">
        <x:v>-16</x:v>
      </x:c>
      <x:c r="B52" s="8" t="str">
        <x:v>R01</x:v>
      </x:c>
      <x:c r="C52" s="8" t="n">
        <x:v>3.56</x:v>
      </x:c>
      <x:c r="D52" s="8" t="n">
        <x:v>3.38</x:v>
      </x:c>
      <x:c r="E52" s="8" t="n">
        <x:v>3.35</x:v>
      </x:c>
      <x:c r="F52" s="8" t="n">
        <x:v>0.1</x:v>
      </x:c>
      <x:c r="G52" s="8" t="n">
        <x:v>171</x:v>
      </x:c>
      <x:c r="H52" s="8" t="n">
        <x:v>0.44</x:v>
      </x:c>
      <x:c r="I52" s="8" t="n">
        <x:v>0.46</x:v>
      </x:c>
      <x:c r="J52" s="8" t="n">
        <x:v>8</x:v>
      </x:c>
      <x:c r="K52" s="8" t="n">
        <x:v>-5</x:v>
      </x:c>
      <x:c r="L52" s="8" t="n">
        <x:v>1.52</x:v>
      </x:c>
    </x:row>
    <x:row r="53">
      <x:c r="A53" s="8" t="n">
        <x:v>-16</x:v>
      </x:c>
      <x:c r="B53" s="8" t="str">
        <x:v>R02</x:v>
      </x:c>
      <x:c r="C53" s="8" t="n">
        <x:v>3.51</x:v>
      </x:c>
      <x:c r="D53" s="8" t="n">
        <x:v>3.42</x:v>
      </x:c>
      <x:c r="E53" s="8" t="n">
        <x:v>3.39</x:v>
      </x:c>
      <x:c r="F53" s="8" t="n">
        <x:v>0.5</x:v>
      </x:c>
      <x:c r="G53" s="8" t="n">
        <x:v>159</x:v>
      </x:c>
      <x:c r="H53" s="8" t="n">
        <x:v>0.47</x:v>
      </x:c>
      <x:c r="I53" s="8" t="n">
        <x:v>0.49</x:v>
      </x:c>
      <x:c r="J53" s="8" t="n">
        <x:v>8</x:v>
      </x:c>
      <x:c r="K53" s="8" t="n">
        <x:v>-2</x:v>
      </x:c>
      <x:c r="L53" s="8" t="n">
        <x:v>1.52</x:v>
      </x:c>
    </x:row>
    <x:row r="54">
      <x:c r="A54" s="8" t="n">
        <x:v>-16</x:v>
      </x:c>
      <x:c r="B54" s="8" t="str">
        <x:v>R03</x:v>
      </x:c>
      <x:c r="C54" s="8" t="n">
        <x:v>3.3</x:v>
      </x:c>
      <x:c r="D54" s="8" t="n">
        <x:v>3.37</x:v>
      </x:c>
      <x:c r="E54" s="8" t="n">
        <x:v>3.37</x:v>
      </x:c>
      <x:c r="F54" s="8" t="n">
        <x:v>0.5</x:v>
      </x:c>
      <x:c r="G54" s="8" t="n">
        <x:v>152</x:v>
      </x:c>
      <x:c r="H54" s="8" t="n">
        <x:v>0.49</x:v>
      </x:c>
      <x:c r="I54" s="8" t="n">
        <x:v>0.49</x:v>
      </x:c>
      <x:c r="J54" s="8" t="n">
        <x:v>8</x:v>
      </x:c>
      <x:c r="K54" s="8" t="n">
        <x:v>1</x:v>
      </x:c>
      <x:c r="L54" s="8" t="n">
        <x:v>1.52</x:v>
      </x:c>
    </x:row>
    <x:row r="55">
      <x:c r="A55" s="8" t="n">
        <x:v>-16</x:v>
      </x:c>
      <x:c r="B55" s="8" t="str">
        <x:v>R04</x:v>
      </x:c>
      <x:c r="C55" s="8" t="n">
        <x:v>3.35</x:v>
      </x:c>
      <x:c r="D55" s="8" t="n">
        <x:v>3.37</x:v>
      </x:c>
      <x:c r="E55" s="8" t="n">
        <x:v>3.38</x:v>
      </x:c>
      <x:c r="F55" s="8" t="n">
        <x:v>-0.3</x:v>
      </x:c>
      <x:c r="G55" s="8" t="n">
        <x:v>168</x:v>
      </x:c>
      <x:c r="H55" s="8" t="n">
        <x:v>0.44</x:v>
      </x:c>
      <x:c r="I55" s="8" t="n">
        <x:v>0.45</x:v>
      </x:c>
      <x:c r="J55" s="8" t="n">
        <x:v>8</x:v>
      </x:c>
      <x:c r="K55" s="8" t="n">
        <x:v>4</x:v>
      </x:c>
      <x:c r="L55" s="8" t="n">
        <x:v>1.52</x:v>
      </x:c>
    </x:row>
    <x:row r="56">
      <x:c r="A56" s="8" t="n">
        <x:v>-16</x:v>
      </x:c>
      <x:c r="B56" s="8" t="str">
        <x:v>R05</x:v>
      </x:c>
      <x:c r="C56" s="8" t="n">
        <x:v>3.64</x:v>
      </x:c>
      <x:c r="D56" s="8" t="n">
        <x:v>3.29</x:v>
      </x:c>
      <x:c r="E56" s="8" t="n">
        <x:v>3.27</x:v>
      </x:c>
      <x:c r="F56" s="8" t="n">
        <x:v>-0.6</x:v>
      </x:c>
      <x:c r="G56" s="8" t="n">
        <x:v>186</x:v>
      </x:c>
      <x:c r="H56" s="8" t="n">
        <x:v>0.42</x:v>
      </x:c>
      <x:c r="I56" s="8" t="n">
        <x:v>0.42</x:v>
      </x:c>
      <x:c r="J56" s="8" t="n">
        <x:v>8</x:v>
      </x:c>
      <x:c r="K56" s="8" t="n">
        <x:v>7</x:v>
      </x:c>
      <x:c r="L56" s="8" t="n">
        <x:v>1.52</x:v>
      </x:c>
    </x:row>
    <x:row r="57">
      <x:c r="A57" s="8" t="n">
        <x:v>-16</x:v>
      </x:c>
      <x:c r="B57" s="8" t="str">
        <x:v>R06</x:v>
      </x:c>
      <x:c r="C57" s="8" t="n">
        <x:v>3.33</x:v>
      </x:c>
      <x:c r="D57" s="8" t="n">
        <x:v>3.28</x:v>
      </x:c>
      <x:c r="E57" s="8" t="n">
        <x:v>3.3</x:v>
      </x:c>
      <x:c r="F57" s="8" t="n">
        <x:v>1</x:v>
      </x:c>
      <x:c r="G57" s="8" t="n">
        <x:v>151</x:v>
      </x:c>
      <x:c r="H57" s="8" t="n">
        <x:v>0.48</x:v>
      </x:c>
      <x:c r="I57" s="8" t="n">
        <x:v>0.46</x:v>
      </x:c>
      <x:c r="J57" s="8" t="n">
        <x:v>10.962</x:v>
      </x:c>
      <x:c r="K57" s="8" t="n">
        <x:v>-5</x:v>
      </x:c>
      <x:c r="L57" s="8" t="n">
        <x:v>1.994</x:v>
      </x:c>
    </x:row>
    <x:row r="58">
      <x:c r="A58" s="8" t="n">
        <x:v>-16</x:v>
      </x:c>
      <x:c r="B58" s="8" t="str">
        <x:v>R07</x:v>
      </x:c>
      <x:c r="C58" s="8" t="n">
        <x:v>3.48</x:v>
      </x:c>
      <x:c r="D58" s="8" t="n">
        <x:v>3.29</x:v>
      </x:c>
      <x:c r="E58" s="8" t="n">
        <x:v>3.31</x:v>
      </x:c>
      <x:c r="F58" s="8" t="n">
        <x:v>1.5</x:v>
      </x:c>
      <x:c r="G58" s="8" t="n">
        <x:v>144</x:v>
      </x:c>
      <x:c r="H58" s="8" t="n">
        <x:v>0.52</x:v>
      </x:c>
      <x:c r="I58" s="8" t="n">
        <x:v>0.48</x:v>
      </x:c>
      <x:c r="J58" s="8" t="n">
        <x:v>10.962</x:v>
      </x:c>
      <x:c r="K58" s="8" t="n">
        <x:v>-2</x:v>
      </x:c>
      <x:c r="L58" s="8" t="n">
        <x:v>1.994</x:v>
      </x:c>
    </x:row>
    <x:row r="59">
      <x:c r="A59" s="8" t="n">
        <x:v>-16</x:v>
      </x:c>
      <x:c r="B59" s="8" t="str">
        <x:v>R08</x:v>
      </x:c>
      <x:c r="C59" s="8" t="n">
        <x:v>3.15</x:v>
      </x:c>
      <x:c r="D59" s="8" t="n">
        <x:v>3.33</x:v>
      </x:c>
      <x:c r="E59" s="8" t="n">
        <x:v>3.36</x:v>
      </x:c>
      <x:c r="F59" s="8" t="n">
        <x:v>1.7</x:v>
      </x:c>
      <x:c r="G59" s="8" t="n">
        <x:v>131</x:v>
      </x:c>
      <x:c r="H59" s="8" t="n">
        <x:v>0.54</x:v>
      </x:c>
      <x:c r="I59" s="8" t="n">
        <x:v>0.5</x:v>
      </x:c>
      <x:c r="J59" s="8" t="n">
        <x:v>10.962</x:v>
      </x:c>
      <x:c r="K59" s="8" t="n">
        <x:v>1</x:v>
      </x:c>
      <x:c r="L59" s="8" t="n">
        <x:v>1.994</x:v>
      </x:c>
    </x:row>
    <x:row r="60">
      <x:c r="A60" s="8" t="n">
        <x:v>-16</x:v>
      </x:c>
      <x:c r="B60" s="8" t="str">
        <x:v>R09</x:v>
      </x:c>
      <x:c r="C60" s="8" t="n">
        <x:v>3.37</x:v>
      </x:c>
      <x:c r="D60" s="8" t="n">
        <x:v>3.38</x:v>
      </x:c>
      <x:c r="E60" s="8" t="n">
        <x:v>3.37</x:v>
      </x:c>
      <x:c r="F60" s="8" t="n">
        <x:v>1.3</x:v>
      </x:c>
      <x:c r="G60" s="8" t="n">
        <x:v>143</x:v>
      </x:c>
      <x:c r="H60" s="8" t="n">
        <x:v>0.5</x:v>
      </x:c>
      <x:c r="I60" s="8" t="n">
        <x:v>0.48</x:v>
      </x:c>
      <x:c r="J60" s="8" t="n">
        <x:v>10.962</x:v>
      </x:c>
      <x:c r="K60" s="8" t="n">
        <x:v>4</x:v>
      </x:c>
      <x:c r="L60" s="8" t="n">
        <x:v>1.994</x:v>
      </x:c>
    </x:row>
    <x:row r="61">
      <x:c r="A61" s="8" t="n">
        <x:v>-16</x:v>
      </x:c>
      <x:c r="B61" s="8" t="str">
        <x:v>R10</x:v>
      </x:c>
      <x:c r="C61" s="8" t="n">
        <x:v>3.38</x:v>
      </x:c>
      <x:c r="D61" s="8" t="n">
        <x:v>3.31</x:v>
      </x:c>
      <x:c r="E61" s="8" t="n">
        <x:v>3.34</x:v>
      </x:c>
      <x:c r="F61" s="8" t="n">
        <x:v>-0.6</x:v>
      </x:c>
      <x:c r="G61" s="8" t="n">
        <x:v>179</x:v>
      </x:c>
      <x:c r="H61" s="8" t="n">
        <x:v>0.46</x:v>
      </x:c>
      <x:c r="I61" s="8" t="n">
        <x:v>0.38</x:v>
      </x:c>
      <x:c r="J61" s="8" t="n">
        <x:v>10.962</x:v>
      </x:c>
      <x:c r="K61" s="8" t="n">
        <x:v>7</x:v>
      </x:c>
      <x:c r="L61" s="8" t="n">
        <x:v>1.994</x:v>
      </x:c>
    </x:row>
    <x:row r="62">
      <x:c r="A62" s="8" t="n">
        <x:v>-16</x:v>
      </x:c>
      <x:c r="B62" s="8" t="str">
        <x:v>R11</x:v>
      </x:c>
      <x:c r="C62" s="8" t="n">
        <x:v>3.53</x:v>
      </x:c>
      <x:c r="D62" s="8" t="n">
        <x:v>3.29</x:v>
      </x:c>
      <x:c r="E62" s="8" t="n">
        <x:v>3.22</x:v>
      </x:c>
      <x:c r="F62" s="8" t="n">
        <x:v>1.3</x:v>
      </x:c>
      <x:c r="G62" s="8" t="n">
        <x:v>160</x:v>
      </x:c>
      <x:c r="H62" s="8" t="n">
        <x:v>0.47</x:v>
      </x:c>
      <x:c r="I62" s="8" t="n">
        <x:v>0.45</x:v>
      </x:c>
      <x:c r="J62" s="8" t="n">
        <x:v>13.925</x:v>
      </x:c>
      <x:c r="K62" s="8" t="n">
        <x:v>-5</x:v>
      </x:c>
      <x:c r="L62" s="8" t="n">
        <x:v>2.468</x:v>
      </x:c>
    </x:row>
    <x:row r="63">
      <x:c r="A63" s="8" t="n">
        <x:v>-16</x:v>
      </x:c>
      <x:c r="B63" s="8" t="str">
        <x:v>R12</x:v>
      </x:c>
      <x:c r="C63" s="8" t="n">
        <x:v>3.44</x:v>
      </x:c>
      <x:c r="D63" s="8" t="n">
        <x:v>3.41</x:v>
      </x:c>
      <x:c r="E63" s="8" t="n">
        <x:v>3.35</x:v>
      </x:c>
      <x:c r="F63" s="8" t="n">
        <x:v>1.5</x:v>
      </x:c>
      <x:c r="G63" s="8" t="n">
        <x:v>153</x:v>
      </x:c>
      <x:c r="H63" s="8" t="n">
        <x:v>0.48</x:v>
      </x:c>
      <x:c r="I63" s="8" t="n">
        <x:v>0.43</x:v>
      </x:c>
      <x:c r="J63" s="8" t="n">
        <x:v>13.925</x:v>
      </x:c>
      <x:c r="K63" s="8" t="n">
        <x:v>-2</x:v>
      </x:c>
      <x:c r="L63" s="8" t="n">
        <x:v>2.468</x:v>
      </x:c>
    </x:row>
    <x:row r="64">
      <x:c r="A64" s="8" t="n">
        <x:v>-16</x:v>
      </x:c>
      <x:c r="B64" s="8" t="str">
        <x:v>R13</x:v>
      </x:c>
      <x:c r="C64" s="8" t="n">
        <x:v>3.5</x:v>
      </x:c>
      <x:c r="D64" s="8" t="n">
        <x:v>3.49</x:v>
      </x:c>
      <x:c r="E64" s="8" t="n">
        <x:v>3.39</x:v>
      </x:c>
      <x:c r="F64" s="8" t="n">
        <x:v>1.6</x:v>
      </x:c>
      <x:c r="G64" s="8" t="n">
        <x:v>154</x:v>
      </x:c>
      <x:c r="H64" s="8" t="n">
        <x:v>0.48</x:v>
      </x:c>
      <x:c r="I64" s="8" t="n">
        <x:v>0.44</x:v>
      </x:c>
      <x:c r="J64" s="8" t="n">
        <x:v>13.925</x:v>
      </x:c>
      <x:c r="K64" s="8" t="n">
        <x:v>1</x:v>
      </x:c>
      <x:c r="L64" s="8" t="n">
        <x:v>2.468</x:v>
      </x:c>
    </x:row>
    <x:row r="65">
      <x:c r="A65" s="8" t="n">
        <x:v>-16</x:v>
      </x:c>
      <x:c r="B65" s="8" t="str">
        <x:v>R14</x:v>
      </x:c>
      <x:c r="C65" s="8" t="n">
        <x:v>3.35</x:v>
      </x:c>
      <x:c r="D65" s="8" t="n">
        <x:v>3.41</x:v>
      </x:c>
      <x:c r="E65" s="8" t="n">
        <x:v>3.36</x:v>
      </x:c>
      <x:c r="F65" s="8" t="n">
        <x:v>1.4</x:v>
      </x:c>
      <x:c r="G65" s="8" t="n">
        <x:v>156</x:v>
      </x:c>
      <x:c r="H65" s="8" t="n">
        <x:v>0.47</x:v>
      </x:c>
      <x:c r="I65" s="8" t="n">
        <x:v>0.43</x:v>
      </x:c>
      <x:c r="J65" s="8" t="n">
        <x:v>13.925</x:v>
      </x:c>
      <x:c r="K65" s="8" t="n">
        <x:v>4</x:v>
      </x:c>
      <x:c r="L65" s="8" t="n">
        <x:v>2.468</x:v>
      </x:c>
    </x:row>
    <x:row r="66">
      <x:c r="A66" s="8" t="n">
        <x:v>-16</x:v>
      </x:c>
      <x:c r="B66" s="8" t="str">
        <x:v>R15</x:v>
      </x:c>
      <x:c r="C66" s="8" t="n">
        <x:v>3.42</x:v>
      </x:c>
      <x:c r="D66" s="8" t="n">
        <x:v>3.24</x:v>
      </x:c>
      <x:c r="E66" s="8" t="n">
        <x:v>3.24</x:v>
      </x:c>
      <x:c r="F66" s="8" t="n">
        <x:v>0.1</x:v>
      </x:c>
      <x:c r="G66" s="8" t="n">
        <x:v>176</x:v>
      </x:c>
      <x:c r="H66" s="8" t="n">
        <x:v>0.44</x:v>
      </x:c>
      <x:c r="I66" s="8" t="n">
        <x:v>0.37</x:v>
      </x:c>
      <x:c r="J66" s="8" t="n">
        <x:v>13.925</x:v>
      </x:c>
      <x:c r="K66" s="8" t="n">
        <x:v>7</x:v>
      </x:c>
      <x:c r="L66" s="8" t="n">
        <x:v>2.468</x:v>
      </x:c>
    </x:row>
    <x:row r="67">
      <x:c r="A67" s="8" t="n">
        <x:v>-16</x:v>
      </x:c>
      <x:c r="B67" s="8" t="str">
        <x:v>R16</x:v>
      </x:c>
      <x:c r="C67" s="8" t="n">
        <x:v>3.38</x:v>
      </x:c>
      <x:c r="D67" s="8" t="n">
        <x:v>3.3</x:v>
      </x:c>
      <x:c r="E67" s="8" t="n">
        <x:v>3.28</x:v>
      </x:c>
      <x:c r="F67" s="8" t="n">
        <x:v>0.1</x:v>
      </x:c>
      <x:c r="G67" s="8" t="n">
        <x:v>183</x:v>
      </x:c>
      <x:c r="H67" s="8" t="n">
        <x:v>0.46</x:v>
      </x:c>
      <x:c r="I67" s="8" t="n">
        <x:v>0.36</x:v>
      </x:c>
      <x:c r="J67" s="8" t="n">
        <x:v>16.887</x:v>
      </x:c>
      <x:c r="K67" s="8" t="n">
        <x:v>-5</x:v>
      </x:c>
      <x:c r="L67" s="8" t="n">
        <x:v>2.942</x:v>
      </x:c>
    </x:row>
    <x:row r="68">
      <x:c r="A68" s="8" t="n">
        <x:v>-16</x:v>
      </x:c>
      <x:c r="B68" s="8" t="str">
        <x:v>R17</x:v>
      </x:c>
      <x:c r="C68" s="8" t="n">
        <x:v>3.31</x:v>
      </x:c>
      <x:c r="D68" s="8" t="n">
        <x:v>3.34</x:v>
      </x:c>
      <x:c r="E68" s="8" t="n">
        <x:v>3.33</x:v>
      </x:c>
      <x:c r="F68" s="8" t="n">
        <x:v>0.8</x:v>
      </x:c>
      <x:c r="G68" s="8" t="n">
        <x:v>170</x:v>
      </x:c>
      <x:c r="H68" s="8" t="n">
        <x:v>0.47</x:v>
      </x:c>
      <x:c r="I68" s="8" t="n">
        <x:v>0.37</x:v>
      </x:c>
      <x:c r="J68" s="8" t="n">
        <x:v>16.887</x:v>
      </x:c>
      <x:c r="K68" s="8" t="n">
        <x:v>-2</x:v>
      </x:c>
      <x:c r="L68" s="8" t="n">
        <x:v>2.942</x:v>
      </x:c>
    </x:row>
    <x:row r="69">
      <x:c r="A69" s="8" t="n">
        <x:v>-16</x:v>
      </x:c>
      <x:c r="B69" s="8" t="str">
        <x:v>R18</x:v>
      </x:c>
      <x:c r="C69" s="8" t="n">
        <x:v>3.31</x:v>
      </x:c>
      <x:c r="D69" s="8" t="n">
        <x:v>3.31</x:v>
      </x:c>
      <x:c r="E69" s="8" t="n">
        <x:v>3.32</x:v>
      </x:c>
      <x:c r="F69" s="8" t="n">
        <x:v>0.6</x:v>
      </x:c>
      <x:c r="G69" s="8" t="n">
        <x:v>175</x:v>
      </x:c>
      <x:c r="H69" s="8" t="n">
        <x:v>0.47</x:v>
      </x:c>
      <x:c r="I69" s="8" t="n">
        <x:v>0.37</x:v>
      </x:c>
      <x:c r="J69" s="8" t="n">
        <x:v>16.887</x:v>
      </x:c>
      <x:c r="K69" s="8" t="n">
        <x:v>1</x:v>
      </x:c>
      <x:c r="L69" s="8" t="n">
        <x:v>2.942</x:v>
      </x:c>
    </x:row>
    <x:row r="70">
      <x:c r="A70" s="8" t="n">
        <x:v>-16</x:v>
      </x:c>
      <x:c r="B70" s="8" t="str">
        <x:v>R19</x:v>
      </x:c>
      <x:c r="C70" s="8" t="n">
        <x:v>3.27</x:v>
      </x:c>
      <x:c r="D70" s="8" t="n">
        <x:v>3.46</x:v>
      </x:c>
      <x:c r="E70" s="8" t="n">
        <x:v>3.37</x:v>
      </x:c>
      <x:c r="F70" s="8" t="n">
        <x:v>1</x:v>
      </x:c>
      <x:c r="G70" s="8" t="n">
        <x:v>168</x:v>
      </x:c>
      <x:c r="H70" s="8" t="n">
        <x:v>0.47</x:v>
      </x:c>
      <x:c r="I70" s="8" t="n">
        <x:v>0.39</x:v>
      </x:c>
      <x:c r="J70" s="8" t="n">
        <x:v>16.887</x:v>
      </x:c>
      <x:c r="K70" s="8" t="n">
        <x:v>4</x:v>
      </x:c>
      <x:c r="L70" s="8" t="n">
        <x:v>2.942</x:v>
      </x:c>
    </x:row>
    <x:row r="71">
      <x:c r="A71" s="8" t="n">
        <x:v>-16</x:v>
      </x:c>
      <x:c r="B71" s="8" t="str">
        <x:v>R20</x:v>
      </x:c>
      <x:c r="C71" s="8" t="n">
        <x:v>3.43</x:v>
      </x:c>
      <x:c r="D71" s="8" t="n">
        <x:v>3.36</x:v>
      </x:c>
      <x:c r="E71" s="8" t="n">
        <x:v>3.33</x:v>
      </x:c>
      <x:c r="F71" s="8" t="n">
        <x:v>0.2</x:v>
      </x:c>
      <x:c r="G71" s="8" t="n">
        <x:v>182</x:v>
      </x:c>
      <x:c r="H71" s="8" t="n">
        <x:v>0.46</x:v>
      </x:c>
      <x:c r="I71" s="8" t="n">
        <x:v>0.36</x:v>
      </x:c>
      <x:c r="J71" s="8" t="n">
        <x:v>16.887</x:v>
      </x:c>
      <x:c r="K71" s="8" t="n">
        <x:v>7</x:v>
      </x:c>
      <x:c r="L71" s="8" t="n">
        <x:v>2.942</x:v>
      </x:c>
    </x:row>
    <x:row r="72">
      <x:c r="A72" s="8" t="n">
        <x:v>-16</x:v>
      </x:c>
      <x:c r="B72" s="8" t="str">
        <x:v>R21</x:v>
      </x:c>
      <x:c r="C72" s="8" t="n">
        <x:v>3.47</x:v>
      </x:c>
      <x:c r="D72" s="8" t="n">
        <x:v>3.25</x:v>
      </x:c>
      <x:c r="E72" s="8" t="n">
        <x:v>3.26</x:v>
      </x:c>
      <x:c r="F72" s="8" t="n">
        <x:v>-0.4</x:v>
      </x:c>
      <x:c r="G72" s="8" t="n">
        <x:v>195</x:v>
      </x:c>
      <x:c r="H72" s="8" t="n">
        <x:v>0.45</x:v>
      </x:c>
      <x:c r="I72" s="8" t="n">
        <x:v>0.37</x:v>
      </x:c>
      <x:c r="J72" s="8" t="n">
        <x:v>19.849</x:v>
      </x:c>
      <x:c r="K72" s="8" t="n">
        <x:v>-5</x:v>
      </x:c>
      <x:c r="L72" s="8" t="n">
        <x:v>3.416</x:v>
      </x:c>
    </x:row>
    <x:row r="73">
      <x:c r="A73" s="8" t="n">
        <x:v>-16</x:v>
      </x:c>
      <x:c r="B73" s="8" t="str">
        <x:v>R22</x:v>
      </x:c>
      <x:c r="C73" s="8" t="n">
        <x:v>3.42</x:v>
      </x:c>
      <x:c r="D73" s="8" t="n">
        <x:v>3.33</x:v>
      </x:c>
      <x:c r="E73" s="8" t="n">
        <x:v>3.31</x:v>
      </x:c>
      <x:c r="F73" s="8" t="n">
        <x:v>0.5</x:v>
      </x:c>
      <x:c r="G73" s="8" t="n">
        <x:v>182</x:v>
      </x:c>
      <x:c r="H73" s="8" t="n">
        <x:v>0.46</x:v>
      </x:c>
      <x:c r="I73" s="8" t="n">
        <x:v>0.39</x:v>
      </x:c>
      <x:c r="J73" s="8" t="n">
        <x:v>19.849</x:v>
      </x:c>
      <x:c r="K73" s="8" t="n">
        <x:v>-2</x:v>
      </x:c>
      <x:c r="L73" s="8" t="n">
        <x:v>3.416</x:v>
      </x:c>
    </x:row>
    <x:row r="74">
      <x:c r="A74" s="8" t="n">
        <x:v>-16</x:v>
      </x:c>
      <x:c r="B74" s="8" t="str">
        <x:v>R23</x:v>
      </x:c>
      <x:c r="C74" s="8" t="n">
        <x:v>3.42</x:v>
      </x:c>
      <x:c r="D74" s="8" t="n">
        <x:v>3.42</x:v>
      </x:c>
      <x:c r="E74" s="8" t="n">
        <x:v>3.3</x:v>
      </x:c>
      <x:c r="F74" s="8" t="n">
        <x:v>0.6</x:v>
      </x:c>
      <x:c r="G74" s="8" t="n">
        <x:v>180</x:v>
      </x:c>
      <x:c r="H74" s="8" t="n">
        <x:v>0.47</x:v>
      </x:c>
      <x:c r="I74" s="8" t="n">
        <x:v>0.38</x:v>
      </x:c>
      <x:c r="J74" s="8" t="n">
        <x:v>19.849</x:v>
      </x:c>
      <x:c r="K74" s="8" t="n">
        <x:v>1</x:v>
      </x:c>
      <x:c r="L74" s="8" t="n">
        <x:v>3.416</x:v>
      </x:c>
    </x:row>
    <x:row r="75">
      <x:c r="A75" s="8" t="n">
        <x:v>-16</x:v>
      </x:c>
      <x:c r="B75" s="8" t="str">
        <x:v>R24</x:v>
      </x:c>
      <x:c r="C75" s="8" t="n">
        <x:v>3.23</x:v>
      </x:c>
      <x:c r="D75" s="8" t="n">
        <x:v>3.5</x:v>
      </x:c>
      <x:c r="E75" s="8" t="n">
        <x:v>3.36</x:v>
      </x:c>
      <x:c r="F75" s="8" t="n">
        <x:v>-0.1</x:v>
      </x:c>
      <x:c r="G75" s="8" t="n">
        <x:v>184</x:v>
      </x:c>
      <x:c r="H75" s="8" t="n">
        <x:v>0.46</x:v>
      </x:c>
      <x:c r="I75" s="8" t="n">
        <x:v>0.38</x:v>
      </x:c>
      <x:c r="J75" s="8" t="n">
        <x:v>19.849</x:v>
      </x:c>
      <x:c r="K75" s="8" t="n">
        <x:v>4</x:v>
      </x:c>
      <x:c r="L75" s="8" t="n">
        <x:v>3.416</x:v>
      </x:c>
    </x:row>
    <x:row r="76">
      <x:c r="A76" s="8" t="n">
        <x:v>-16</x:v>
      </x:c>
      <x:c r="B76" s="8" t="str">
        <x:v>R25</x:v>
      </x:c>
      <x:c r="C76" s="8" t="n">
        <x:v>3.3</x:v>
      </x:c>
      <x:c r="D76" s="8" t="n">
        <x:v>3.59</x:v>
      </x:c>
      <x:c r="E76" s="8" t="n">
        <x:v>3.37</x:v>
      </x:c>
      <x:c r="F76" s="8" t="n">
        <x:v>0.5</x:v>
      </x:c>
      <x:c r="G76" s="8" t="n">
        <x:v>178</x:v>
      </x:c>
      <x:c r="H76" s="8" t="n">
        <x:v>0.46</x:v>
      </x:c>
      <x:c r="I76" s="8" t="n">
        <x:v>0.4</x:v>
      </x:c>
      <x:c r="J76" s="8" t="n">
        <x:v>19.849</x:v>
      </x:c>
      <x:c r="K76" s="8" t="n">
        <x:v>7</x:v>
      </x:c>
      <x:c r="L76" s="8" t="n">
        <x:v>3.416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24" hidden="0" customWidth="1"/>
  </x:cols>
  <x:sheetData>
    <x:row r="1" ht="34" customHeight="1">
      <x:c r="A1" s="4" t="str">
        <x:v>Angulo_deg</x:v>
      </x:c>
      <x:c r="B1" s="4" t="str">
        <x:v>Receptor</x:v>
      </x:c>
      <x:c r="C1" s="4" t="str">
        <x:v>EDT_s</x:v>
      </x:c>
      <x:c r="D1" s="4" t="str">
        <x:v>T30_s</x:v>
      </x:c>
      <x:c r="E1" s="4" t="str">
        <x:v>C80_dB</x:v>
      </x:c>
      <x:c r="F1" s="4" t="str">
        <x:v>Energia_rel_dB</x:v>
      </x:c>
      <x:c r="G1" s="4" t="str">
        <x:v>Energia_centrada_dB</x:v>
      </x:c>
    </x:row>
    <x:row r="2">
      <x:c r="A2" s="8" t="n">
        <x:v>0</x:v>
      </x:c>
      <x:c r="B2" s="8" t="str">
        <x:v>R01</x:v>
      </x:c>
      <x:c r="C2" s="8" t="n">
        <x:v>3.5499824213205424</x:v>
      </x:c>
      <x:c r="D2" s="8" t="n">
        <x:v>3.9310805367755877</x:v>
      </x:c>
      <x:c r="E2" s="8" t="n">
        <x:v>-7.02395730351927</x:v>
      </x:c>
      <x:c r="F2" s="8" t="n">
        <x:v>-10.112876908503958</x:v>
      </x:c>
      <x:c r="G2" s="8" t="n">
        <x:v>-0.5343387412709308</x:v>
      </x:c>
    </x:row>
    <x:row r="3">
      <x:c r="A3" s="8" t="n">
        <x:v>0</x:v>
      </x:c>
      <x:c r="B3" s="8" t="str">
        <x:v>R02</x:v>
      </x:c>
      <x:c r="C3" s="8" t="n">
        <x:v>4.312288251423529</x:v>
      </x:c>
      <x:c r="D3" s="8" t="n">
        <x:v>3.8557125291188497</x:v>
      </x:c>
      <x:c r="E3" s="8" t="n">
        <x:v>-8.723971966046621</x:v>
      </x:c>
      <x:c r="F3" s="8" t="n">
        <x:v>-10.6460439986726</x:v>
      </x:c>
      <x:c r="G3" s="8" t="n">
        <x:v>-1.067505831439572</x:v>
      </x:c>
    </x:row>
    <x:row r="4">
      <x:c r="A4" s="8" t="n">
        <x:v>0</x:v>
      </x:c>
      <x:c r="B4" s="8" t="str">
        <x:v>R03</x:v>
      </x:c>
      <x:c r="C4" s="8" t="n">
        <x:v>3.840009025026027</x:v>
      </x:c>
      <x:c r="D4" s="8" t="n">
        <x:v>3.912112977399317</x:v>
      </x:c>
      <x:c r="E4" s="8" t="n">
        <x:v>-8.594127551054553</x:v>
      </x:c>
      <x:c r="F4" s="8" t="n">
        <x:v>-10.817156181757472</x:v>
      </x:c>
      <x:c r="G4" s="8" t="n">
        <x:v>-1.2386180145244445</x:v>
      </x:c>
    </x:row>
    <x:row r="5">
      <x:c r="A5" s="8" t="n">
        <x:v>0</x:v>
      </x:c>
      <x:c r="B5" s="8" t="str">
        <x:v>R04</x:v>
      </x:c>
      <x:c r="C5" s="8" t="n">
        <x:v>3.969202020594556</x:v>
      </x:c>
      <x:c r="D5" s="8" t="n">
        <x:v>3.8714086617369197</x:v>
      </x:c>
      <x:c r="E5" s="8" t="n">
        <x:v>-6.847054850200162</x:v>
      </x:c>
      <x:c r="F5" s="8" t="n">
        <x:v>-10.233895024778633</x:v>
      </x:c>
      <x:c r="G5" s="8" t="n">
        <x:v>-0.6553568575456055</x:v>
      </x:c>
    </x:row>
    <x:row r="6">
      <x:c r="A6" s="8" t="n">
        <x:v>0</x:v>
      </x:c>
      <x:c r="B6" s="8" t="str">
        <x:v>R05</x:v>
      </x:c>
      <x:c r="C6" s="8" t="n">
        <x:v>3.75401634331031</x:v>
      </x:c>
      <x:c r="D6" s="8" t="n">
        <x:v>3.760202489341819</x:v>
      </x:c>
      <x:c r="E6" s="8" t="n">
        <x:v>-6.3225566273359775</x:v>
      </x:c>
      <x:c r="F6" s="8" t="n">
        <x:v>-10.414392950484594</x:v>
      </x:c>
      <x:c r="G6" s="8" t="n">
        <x:v>-0.8358547832515661</x:v>
      </x:c>
    </x:row>
    <x:row r="7">
      <x:c r="A7" s="8" t="n">
        <x:v>0</x:v>
      </x:c>
      <x:c r="B7" s="8" t="str">
        <x:v>R06</x:v>
      </x:c>
      <x:c r="C7" s="8" t="n">
        <x:v>4.146172044060858</x:v>
      </x:c>
      <x:c r="D7" s="8" t="n">
        <x:v>3.941632682726217</x:v>
      </x:c>
      <x:c r="E7" s="8" t="n">
        <x:v>-3.612219534747428</x:v>
      </x:c>
      <x:c r="F7" s="8" t="n">
        <x:v>-9.969683818532008</x:v>
      </x:c>
      <x:c r="G7" s="8" t="n">
        <x:v>-0.3911456512989808</x:v>
      </x:c>
    </x:row>
    <x:row r="8">
      <x:c r="A8" s="8" t="n">
        <x:v>0</x:v>
      </x:c>
      <x:c r="B8" s="8" t="str">
        <x:v>R07</x:v>
      </x:c>
      <x:c r="C8" s="8" t="n">
        <x:v>3.9402087758897535</x:v>
      </x:c>
      <x:c r="D8" s="8" t="n">
        <x:v>3.8987548466443425</x:v>
      </x:c>
      <x:c r="E8" s="8" t="n">
        <x:v>-4.049643904056851</x:v>
      </x:c>
      <x:c r="F8" s="8" t="n">
        <x:v>-9.743750178072263</x:v>
      </x:c>
      <x:c r="G8" s="8" t="n">
        <x:v>-0.16521201083923565</x:v>
      </x:c>
    </x:row>
    <x:row r="9">
      <x:c r="A9" s="8" t="n">
        <x:v>0</x:v>
      </x:c>
      <x:c r="B9" s="8" t="str">
        <x:v>R08</x:v>
      </x:c>
      <x:c r="C9" s="8" t="n">
        <x:v>4.194116969167354</x:v>
      </x:c>
      <x:c r="D9" s="8" t="n">
        <x:v>3.6125845638975362</x:v>
      </x:c>
      <x:c r="E9" s="8" t="n">
        <x:v>-4.791341260407465</x:v>
      </x:c>
      <x:c r="F9" s="8" t="n">
        <x:v>-9.700528799899079</x:v>
      </x:c>
      <x:c r="G9" s="8" t="n">
        <x:v>-0.12199063266605137</x:v>
      </x:c>
    </x:row>
    <x:row r="10">
      <x:c r="A10" s="8" t="n">
        <x:v>0</x:v>
      </x:c>
      <x:c r="B10" s="8" t="str">
        <x:v>R09</x:v>
      </x:c>
      <x:c r="C10" s="8" t="n">
        <x:v>3.688457362570491</x:v>
      </x:c>
      <x:c r="D10" s="8" t="n">
        <x:v>3.998556369461321</x:v>
      </x:c>
      <x:c r="E10" s="8" t="n">
        <x:v>-4.923924135552481</x:v>
      </x:c>
      <x:c r="F10" s="8" t="n">
        <x:v>-9.913907119755761</x:v>
      </x:c>
      <x:c r="G10" s="8" t="n">
        <x:v>-0.33536895252273347</x:v>
      </x:c>
    </x:row>
    <x:row r="11">
      <x:c r="A11" s="8" t="n">
        <x:v>0</x:v>
      </x:c>
      <x:c r="B11" s="8" t="str">
        <x:v>R10</x:v>
      </x:c>
      <x:c r="C11" s="8" t="n">
        <x:v>3.976029440765984</x:v>
      </x:c>
      <x:c r="D11" s="8" t="n">
        <x:v>3.925298915135351</x:v>
      </x:c>
      <x:c r="E11" s="8" t="n">
        <x:v>-5.296527935588127</x:v>
      </x:c>
      <x:c r="F11" s="8" t="n">
        <x:v>-10.754458208812272</x:v>
      </x:c>
      <x:c r="G11" s="8" t="n">
        <x:v>-1.1759200415792446</x:v>
      </x:c>
    </x:row>
    <x:row r="12">
      <x:c r="A12" s="8" t="n">
        <x:v>0</x:v>
      </x:c>
      <x:c r="B12" s="8" t="str">
        <x:v>R11</x:v>
      </x:c>
      <x:c r="C12" s="8" t="n">
        <x:v>3.9847334838901376</x:v>
      </x:c>
      <x:c r="D12" s="8" t="n">
        <x:v>3.9300884331630077</x:v>
      </x:c>
      <x:c r="E12" s="8" t="n">
        <x:v>-2.998411707502796</x:v>
      </x:c>
      <x:c r="F12" s="8" t="n">
        <x:v>-9.803009697589587</x:v>
      </x:c>
      <x:c r="G12" s="8" t="n">
        <x:v>-0.22447153035655987</x:v>
      </x:c>
    </x:row>
    <x:row r="13">
      <x:c r="A13" s="8" t="n">
        <x:v>0</x:v>
      </x:c>
      <x:c r="B13" s="8" t="str">
        <x:v>R12</x:v>
      </x:c>
      <x:c r="C13" s="8" t="n">
        <x:v>3.8112290241166824</x:v>
      </x:c>
      <x:c r="D13" s="8" t="n">
        <x:v>3.8465981117849224</x:v>
      </x:c>
      <x:c r="E13" s="8" t="n">
        <x:v>-3.301724368055053</x:v>
      </x:c>
      <x:c r="F13" s="8" t="n">
        <x:v>-9.518944475218593</x:v>
      </x:c>
      <x:c r="G13" s="8" t="n">
        <x:v>0.05959369201443465</x:v>
      </x:c>
    </x:row>
    <x:row r="14">
      <x:c r="A14" s="8" t="n">
        <x:v>0</x:v>
      </x:c>
      <x:c r="B14" s="8" t="str">
        <x:v>R13</x:v>
      </x:c>
      <x:c r="C14" s="8" t="n">
        <x:v>4.075559983768481</x:v>
      </x:c>
      <x:c r="D14" s="8" t="n">
        <x:v>4.060697452580416</x:v>
      </x:c>
      <x:c r="E14" s="8" t="n">
        <x:v>-3.039587411084235</x:v>
      </x:c>
      <x:c r="F14" s="8" t="n">
        <x:v>-9.86802863815662</x:v>
      </x:c>
      <x:c r="G14" s="8" t="n">
        <x:v>-0.28949047092359237</x:v>
      </x:c>
    </x:row>
    <x:row r="15">
      <x:c r="A15" s="8" t="n">
        <x:v>0</x:v>
      </x:c>
      <x:c r="B15" s="8" t="str">
        <x:v>R14</x:v>
      </x:c>
      <x:c r="C15" s="8" t="n">
        <x:v>4.0397424793137935</x:v>
      </x:c>
      <x:c r="D15" s="8" t="n">
        <x:v>4.232520545136552</x:v>
      </x:c>
      <x:c r="E15" s="8" t="n">
        <x:v>-2.01178477333078</x:v>
      </x:c>
      <x:c r="F15" s="8" t="n">
        <x:v>-9.413414648866812</x:v>
      </x:c>
      <x:c r="G15" s="8" t="n">
        <x:v>0.1651235183662152</x:v>
      </x:c>
    </x:row>
    <x:row r="16">
      <x:c r="A16" s="8" t="n">
        <x:v>0</x:v>
      </x:c>
      <x:c r="B16" s="8" t="str">
        <x:v>R15</x:v>
      </x:c>
      <x:c r="C16" s="8" t="n">
        <x:v>3.954589987818284</x:v>
      </x:c>
      <x:c r="D16" s="8" t="n">
        <x:v>3.732893448651722</x:v>
      </x:c>
      <x:c r="E16" s="8" t="n">
        <x:v>-2.7405598077578723</x:v>
      </x:c>
      <x:c r="F16" s="8" t="n">
        <x:v>-9.189686808796797</x:v>
      </x:c>
      <x:c r="G16" s="8" t="n">
        <x:v>0.38885135843623075</x:v>
      </x:c>
    </x:row>
    <x:row r="17">
      <x:c r="A17" s="8" t="n">
        <x:v>0</x:v>
      </x:c>
      <x:c r="B17" s="8" t="str">
        <x:v>R16</x:v>
      </x:c>
      <x:c r="C17" s="8" t="n">
        <x:v>3.56214752189509</x:v>
      </x:c>
      <x:c r="D17" s="8" t="n">
        <x:v>4.260990899088303</x:v>
      </x:c>
      <x:c r="E17" s="8" t="n">
        <x:v>-2.914050248685829</x:v>
      </x:c>
      <x:c r="F17" s="8" t="n">
        <x:v>-9.252029408594364</x:v>
      </x:c>
      <x:c r="G17" s="8" t="n">
        <x:v>0.32650875863866347</x:v>
      </x:c>
    </x:row>
    <x:row r="18">
      <x:c r="A18" s="8" t="n">
        <x:v>0</x:v>
      </x:c>
      <x:c r="B18" s="8" t="str">
        <x:v>R17</x:v>
      </x:c>
      <x:c r="C18" s="8" t="n">
        <x:v>4.17664911042224</x:v>
      </x:c>
      <x:c r="D18" s="8" t="n">
        <x:v>4.219404596557064</x:v>
      </x:c>
      <x:c r="E18" s="8" t="n">
        <x:v>-1.9856556115083859</x:v>
      </x:c>
      <x:c r="F18" s="8" t="n">
        <x:v>-9.54837896424422</x:v>
      </x:c>
      <x:c r="G18" s="8" t="n">
        <x:v>0.030159202988807365</x:v>
      </x:c>
    </x:row>
    <x:row r="19">
      <x:c r="A19" s="8" t="n">
        <x:v>0</x:v>
      </x:c>
      <x:c r="B19" s="8" t="str">
        <x:v>R18</x:v>
      </x:c>
      <x:c r="C19" s="8" t="n">
        <x:v>3.476735291931989</x:v>
      </x:c>
      <x:c r="D19" s="8" t="n">
        <x:v>4.11259512970636</x:v>
      </x:c>
      <x:c r="E19" s="8" t="n">
        <x:v>-2.258627620081255</x:v>
      </x:c>
      <x:c r="F19" s="8" t="n">
        <x:v>-8.312701730005253</x:v>
      </x:c>
      <x:c r="G19" s="8" t="n">
        <x:v>1.2658364372277742</x:v>
      </x:c>
    </x:row>
    <x:row r="20">
      <x:c r="A20" s="8" t="n">
        <x:v>0</x:v>
      </x:c>
      <x:c r="B20" s="8" t="str">
        <x:v>R19</x:v>
      </x:c>
      <x:c r="C20" s="8" t="n">
        <x:v>3.6882756771551715</x:v>
      </x:c>
      <x:c r="D20" s="8" t="n">
        <x:v>3.9517910264427205</x:v>
      </x:c>
      <x:c r="E20" s="8" t="n">
        <x:v>-1.9398489941075268</x:v>
      </x:c>
      <x:c r="F20" s="8" t="n">
        <x:v>-8.930194913873562</x:v>
      </x:c>
      <x:c r="G20" s="8" t="n">
        <x:v>0.6483432533594655</x:v>
      </x:c>
    </x:row>
    <x:row r="21">
      <x:c r="A21" s="8" t="n">
        <x:v>0</x:v>
      </x:c>
      <x:c r="B21" s="8" t="str">
        <x:v>R20</x:v>
      </x:c>
      <x:c r="C21" s="8" t="n">
        <x:v>4.322553364201432</x:v>
      </x:c>
      <x:c r="D21" s="8" t="n">
        <x:v>3.952087029454239</x:v>
      </x:c>
      <x:c r="E21" s="8" t="n">
        <x:v>-1.178195127340029</x:v>
      </x:c>
      <x:c r="F21" s="8" t="n">
        <x:v>-9.461345504770279</x:v>
      </x:c>
      <x:c r="G21" s="8" t="n">
        <x:v>0.11719266246274884</x:v>
      </x:c>
    </x:row>
    <x:row r="22">
      <x:c r="A22" s="8" t="n">
        <x:v>0</x:v>
      </x:c>
      <x:c r="B22" s="8" t="str">
        <x:v>R21</x:v>
      </x:c>
      <x:c r="C22" s="8" t="n">
        <x:v>4.107490998741213</x:v>
      </x:c>
      <x:c r="D22" s="8" t="n">
        <x:v>4.168129131140425</x:v>
      </x:c>
      <x:c r="E22" s="8" t="n">
        <x:v>-1.4630523746128545</x:v>
      </x:c>
      <x:c r="F22" s="8" t="n">
        <x:v>-9.359550468550227</x:v>
      </x:c>
      <x:c r="G22" s="8" t="n">
        <x:v>0.21898769868280077</x:v>
      </x:c>
    </x:row>
    <x:row r="23">
      <x:c r="A23" s="8" t="n">
        <x:v>0</x:v>
      </x:c>
      <x:c r="B23" s="8" t="str">
        <x:v>R22</x:v>
      </x:c>
      <x:c r="C23" s="8" t="n">
        <x:v>4.162041703054645</x:v>
      </x:c>
      <x:c r="D23" s="8" t="n">
        <x:v>3.928796516526632</x:v>
      </x:c>
      <x:c r="E23" s="8" t="n">
        <x:v>-2.4821644731311667</x:v>
      </x:c>
      <x:c r="F23" s="8" t="n">
        <x:v>-8.830700028227662</x:v>
      </x:c>
      <x:c r="G23" s="8" t="n">
        <x:v>0.7478381390053652</x:v>
      </x:c>
    </x:row>
    <x:row r="24">
      <x:c r="A24" s="8" t="n">
        <x:v>0</x:v>
      </x:c>
      <x:c r="B24" s="8" t="str">
        <x:v>R23</x:v>
      </x:c>
      <x:c r="C24" s="8" t="n">
        <x:v>3.9396713245171116</x:v>
      </x:c>
      <x:c r="D24" s="8" t="n">
        <x:v>3.7822614384348765</x:v>
      </x:c>
      <x:c r="E24" s="8" t="n">
        <x:v>-0.8373218578848524</x:v>
      </x:c>
      <x:c r="F24" s="8" t="n">
        <x:v>-8.314543695520364</x:v>
      </x:c>
      <x:c r="G24" s="8" t="n">
        <x:v>1.2639944717126639</x:v>
      </x:c>
    </x:row>
    <x:row r="25">
      <x:c r="A25" s="8" t="n">
        <x:v>0</x:v>
      </x:c>
      <x:c r="B25" s="8" t="str">
        <x:v>R24</x:v>
      </x:c>
      <x:c r="C25" s="8" t="n">
        <x:v>3.9408669258548024</x:v>
      </x:c>
      <x:c r="D25" s="8" t="n">
        <x:v>4.139670541554651</x:v>
      </x:c>
      <x:c r="E25" s="8" t="n">
        <x:v>-2.3030119095536765</x:v>
      </x:c>
      <x:c r="F25" s="8" t="n">
        <x:v>-8.658736714575598</x:v>
      </x:c>
      <x:c r="G25" s="8" t="n">
        <x:v>0.9198014526574294</x:v>
      </x:c>
    </x:row>
    <x:row r="26">
      <x:c r="A26" s="8" t="n">
        <x:v>0</x:v>
      </x:c>
      <x:c r="B26" s="8" t="str">
        <x:v>R25</x:v>
      </x:c>
      <x:c r="C26" s="8" t="n">
        <x:v>3.770912665344145</x:v>
      </x:c>
      <x:c r="D26" s="8" t="n">
        <x:v>3.974533637953209</x:v>
      </x:c>
      <x:c r="E26" s="8" t="n">
        <x:v>-0.7639738360033204</x:v>
      </x:c>
      <x:c r="F26" s="8" t="n">
        <x:v>-8.695495294567134</x:v>
      </x:c>
      <x:c r="G26" s="8" t="n">
        <x:v>0.883042872665893</x:v>
      </x:c>
    </x:row>
    <x:row r="27">
      <x:c r="A27" s="8" t="n">
        <x:v>-8</x:v>
      </x:c>
      <x:c r="B27" s="8" t="str">
        <x:v>R01</x:v>
      </x:c>
      <x:c r="C27" s="8" t="n">
        <x:v>3.5362698671417263</x:v>
      </x:c>
      <x:c r="D27" s="8" t="n">
        <x:v>3.793486902511615</x:v>
      </x:c>
      <x:c r="E27" s="8" t="n">
        <x:v>-5.774090303045548</x:v>
      </x:c>
      <x:c r="F27" s="8" t="n">
        <x:v>-9.759653799555778</x:v>
      </x:c>
      <x:c r="G27" s="8" t="n">
        <x:v>-0.435880894461933</x:v>
      </x:c>
    </x:row>
    <x:row r="28">
      <x:c r="A28" s="8" t="n">
        <x:v>-8</x:v>
      </x:c>
      <x:c r="B28" s="8" t="str">
        <x:v>R02</x:v>
      </x:c>
      <x:c r="C28" s="8" t="n">
        <x:v>4.148743040888295</x:v>
      </x:c>
      <x:c r="D28" s="8" t="n">
        <x:v>3.804121226503454</x:v>
      </x:c>
      <x:c r="E28" s="8" t="n">
        <x:v>-6.784424808852974</x:v>
      </x:c>
      <x:c r="F28" s="8" t="n">
        <x:v>-10.041725550802909</x:v>
      </x:c>
      <x:c r="G28" s="8" t="n">
        <x:v>-0.7179526457090635</x:v>
      </x:c>
    </x:row>
    <x:row r="29">
      <x:c r="A29" s="8" t="n">
        <x:v>-8</x:v>
      </x:c>
      <x:c r="B29" s="8" t="str">
        <x:v>R03</x:v>
      </x:c>
      <x:c r="C29" s="8" t="n">
        <x:v>3.789362760437545</x:v>
      </x:c>
      <x:c r="D29" s="8" t="n">
        <x:v>3.8523624459777004</x:v>
      </x:c>
      <x:c r="E29" s="8" t="n">
        <x:v>-7.15811654034109</x:v>
      </x:c>
      <x:c r="F29" s="8" t="n">
        <x:v>-10.288928148320807</x:v>
      </x:c>
      <x:c r="G29" s="8" t="n">
        <x:v>-0.9651552432269614</x:v>
      </x:c>
    </x:row>
    <x:row r="30">
      <x:c r="A30" s="8" t="n">
        <x:v>-8</x:v>
      </x:c>
      <x:c r="B30" s="8" t="str">
        <x:v>R04</x:v>
      </x:c>
      <x:c r="C30" s="8" t="n">
        <x:v>3.822072438039205</x:v>
      </x:c>
      <x:c r="D30" s="8" t="n">
        <x:v>3.8402437637800273</x:v>
      </x:c>
      <x:c r="E30" s="8" t="n">
        <x:v>-5.645297030808888</x:v>
      </x:c>
      <x:c r="F30" s="8" t="n">
        <x:v>-9.667921559321806</x:v>
      </x:c>
      <x:c r="G30" s="8" t="n">
        <x:v>-0.34414865422796126</x:v>
      </x:c>
    </x:row>
    <x:row r="31">
      <x:c r="A31" s="8" t="n">
        <x:v>-8</x:v>
      </x:c>
      <x:c r="B31" s="8" t="str">
        <x:v>R05</x:v>
      </x:c>
      <x:c r="C31" s="8" t="n">
        <x:v>3.8828430259936777</x:v>
      </x:c>
      <x:c r="D31" s="8" t="n">
        <x:v>3.7277766932128347</x:v>
      </x:c>
      <x:c r="E31" s="8" t="n">
        <x:v>-4.755136074056737</x:v>
      </x:c>
      <x:c r="F31" s="8" t="n">
        <x:v>-10.141217737994646</x:v>
      </x:c>
      <x:c r="G31" s="8" t="n">
        <x:v>-0.8174448329008008</x:v>
      </x:c>
    </x:row>
    <x:row r="32">
      <x:c r="A32" s="8" t="n">
        <x:v>-8</x:v>
      </x:c>
      <x:c r="B32" s="8" t="str">
        <x:v>R06</x:v>
      </x:c>
      <x:c r="C32" s="8" t="n">
        <x:v>3.95881043660525</x:v>
      </x:c>
      <x:c r="D32" s="8" t="n">
        <x:v>3.8754446919680148</x:v>
      </x:c>
      <x:c r="E32" s="8" t="n">
        <x:v>-2.372611681259438</x:v>
      </x:c>
      <x:c r="F32" s="8" t="n">
        <x:v>-9.396220828318441</x:v>
      </x:c>
      <x:c r="G32" s="8" t="n">
        <x:v>-0.07244792322459581</x:v>
      </x:c>
    </x:row>
    <x:row r="33">
      <x:c r="A33" s="8" t="n">
        <x:v>-8</x:v>
      </x:c>
      <x:c r="B33" s="8" t="str">
        <x:v>R07</x:v>
      </x:c>
      <x:c r="C33" s="8" t="n">
        <x:v>3.8559833778021386</x:v>
      </x:c>
      <x:c r="D33" s="8" t="n">
        <x:v>3.849566444604875</x:v>
      </x:c>
      <x:c r="E33" s="8" t="n">
        <x:v>-2.0704306132962422</x:v>
      </x:c>
      <x:c r="F33" s="8" t="n">
        <x:v>-9.091871332474023</x:v>
      </x:c>
      <x:c r="G33" s="8" t="n">
        <x:v>0.23190157261982236</x:v>
      </x:c>
    </x:row>
    <x:row r="34">
      <x:c r="A34" s="8" t="n">
        <x:v>-8</x:v>
      </x:c>
      <x:c r="B34" s="8" t="str">
        <x:v>R08</x:v>
      </x:c>
      <x:c r="C34" s="8" t="n">
        <x:v>4.04203311189898</x:v>
      </x:c>
      <x:c r="D34" s="8" t="n">
        <x:v>3.6351029547086124</x:v>
      </x:c>
      <x:c r="E34" s="8" t="n">
        <x:v>-2.704353799642844</x:v>
      </x:c>
      <x:c r="F34" s="8" t="n">
        <x:v>-9.11627048712992</x:v>
      </x:c>
      <x:c r="G34" s="8" t="n">
        <x:v>0.20750241796392466</x:v>
      </x:c>
    </x:row>
    <x:row r="35">
      <x:c r="A35" s="8" t="n">
        <x:v>-8</x:v>
      </x:c>
      <x:c r="B35" s="8" t="str">
        <x:v>R09</x:v>
      </x:c>
      <x:c r="C35" s="8" t="n">
        <x:v>3.7052731765477023</x:v>
      </x:c>
      <x:c r="D35" s="8" t="n">
        <x:v>3.9212134408732493</x:v>
      </x:c>
      <x:c r="E35" s="8" t="n">
        <x:v>-3.077206209247702</x:v>
      </x:c>
      <x:c r="F35" s="8" t="n">
        <x:v>-9.399974406045136</x:v>
      </x:c>
      <x:c r="G35" s="8" t="n">
        <x:v>-0.07620150095129041</x:v>
      </x:c>
    </x:row>
    <x:row r="36">
      <x:c r="A36" s="8" t="n">
        <x:v>-8</x:v>
      </x:c>
      <x:c r="B36" s="8" t="str">
        <x:v>R10</x:v>
      </x:c>
      <x:c r="C36" s="8" t="n">
        <x:v>3.8633470420919354</x:v>
      </x:c>
      <x:c r="D36" s="8" t="n">
        <x:v>3.8678120035657386</x:v>
      </x:c>
      <x:c r="E36" s="8" t="n">
        <x:v>-3.9951814014665183</x:v>
      </x:c>
      <x:c r="F36" s="8" t="n">
        <x:v>-10.353451435956867</x:v>
      </x:c>
      <x:c r="G36" s="8" t="n">
        <x:v>-1.0296785308630216</x:v>
      </x:c>
    </x:row>
    <x:row r="37">
      <x:c r="A37" s="8" t="n">
        <x:v>-8</x:v>
      </x:c>
      <x:c r="B37" s="8" t="str">
        <x:v>R11</x:v>
      </x:c>
      <x:c r="C37" s="8" t="n">
        <x:v>3.969411879626072</x:v>
      </x:c>
      <x:c r="D37" s="8" t="n">
        <x:v>3.896471965956209</x:v>
      </x:c>
      <x:c r="E37" s="8" t="n">
        <x:v>-1.7248535871001922</x:v>
      </x:c>
      <x:c r="F37" s="8" t="n">
        <x:v>-9.374422699455657</x:v>
      </x:c>
      <x:c r="G37" s="8" t="n">
        <x:v>-0.05064979436181183</x:v>
      </x:c>
    </x:row>
    <x:row r="38">
      <x:c r="A38" s="8" t="n">
        <x:v>-8</x:v>
      </x:c>
      <x:c r="B38" s="8" t="str">
        <x:v>R12</x:v>
      </x:c>
      <x:c r="C38" s="8" t="n">
        <x:v>3.778717897538305</x:v>
      </x:c>
      <x:c r="D38" s="8" t="n">
        <x:v>3.821106104690233</x:v>
      </x:c>
      <x:c r="E38" s="8" t="n">
        <x:v>-2.1197315127082152</x:v>
      </x:c>
      <x:c r="F38" s="8" t="n">
        <x:v>-9.19267292526902</x:v>
      </x:c>
      <x:c r="G38" s="8" t="n">
        <x:v>0.1310999798248247</x:v>
      </x:c>
    </x:row>
    <x:row r="39">
      <x:c r="A39" s="8" t="n">
        <x:v>-8</x:v>
      </x:c>
      <x:c r="B39" s="8" t="str">
        <x:v>R13</x:v>
      </x:c>
      <x:c r="C39" s="8" t="n">
        <x:v>3.9644870553380867</x:v>
      </x:c>
      <x:c r="D39" s="8" t="n">
        <x:v>4.007520671652609</x:v>
      </x:c>
      <x:c r="E39" s="8" t="n">
        <x:v>-1.7139137332285683</x:v>
      </x:c>
      <x:c r="F39" s="8" t="n">
        <x:v>-9.40730239200947</x:v>
      </x:c>
      <x:c r="G39" s="8" t="n">
        <x:v>-0.08352948691562467</x:v>
      </x:c>
    </x:row>
    <x:row r="40">
      <x:c r="A40" s="8" t="n">
        <x:v>-8</x:v>
      </x:c>
      <x:c r="B40" s="8" t="str">
        <x:v>R14</x:v>
      </x:c>
      <x:c r="C40" s="8" t="n">
        <x:v>3.8679139163648606</x:v>
      </x:c>
      <x:c r="D40" s="8" t="n">
        <x:v>4.182688189520631</x:v>
      </x:c>
      <x:c r="E40" s="8" t="n">
        <x:v>-1.3148660681366184</x:v>
      </x:c>
      <x:c r="F40" s="8" t="n">
        <x:v>-9.031611903402407</x:v>
      </x:c>
      <x:c r="G40" s="8" t="n">
        <x:v>0.2921610016914382</x:v>
      </x:c>
    </x:row>
    <x:row r="41">
      <x:c r="A41" s="8" t="n">
        <x:v>-8</x:v>
      </x:c>
      <x:c r="B41" s="8" t="str">
        <x:v>R15</x:v>
      </x:c>
      <x:c r="C41" s="8" t="n">
        <x:v>3.804800469671592</x:v>
      </x:c>
      <x:c r="D41" s="8" t="n">
        <x:v>3.74177015788069</x:v>
      </x:c>
      <x:c r="E41" s="8" t="n">
        <x:v>-1.732405789676073</x:v>
      </x:c>
      <x:c r="F41" s="8" t="n">
        <x:v>-8.912242582801902</x:v>
      </x:c>
      <x:c r="G41" s="8" t="n">
        <x:v>0.4115303222919433</x:v>
      </x:c>
    </x:row>
    <x:row r="42">
      <x:c r="A42" s="8" t="n">
        <x:v>-8</x:v>
      </x:c>
      <x:c r="B42" s="8" t="str">
        <x:v>R16</x:v>
      </x:c>
      <x:c r="C42" s="8" t="n">
        <x:v>3.5257297361642306</x:v>
      </x:c>
      <x:c r="D42" s="8" t="n">
        <x:v>4.214631402084995</x:v>
      </x:c>
      <x:c r="E42" s="8" t="n">
        <x:v>-2.0502873382448863</x:v>
      </x:c>
      <x:c r="F42" s="8" t="n">
        <x:v>-9.171112435576259</x:v>
      </x:c>
      <x:c r="G42" s="8" t="n">
        <x:v>0.1526604695175866</x:v>
      </x:c>
    </x:row>
    <x:row r="43">
      <x:c r="A43" s="8" t="n">
        <x:v>-8</x:v>
      </x:c>
      <x:c r="B43" s="8" t="str">
        <x:v>R17</x:v>
      </x:c>
      <x:c r="C43" s="8" t="n">
        <x:v>4.121434127714898</x:v>
      </x:c>
      <x:c r="D43" s="8" t="n">
        <x:v>4.175102087490392</x:v>
      </x:c>
      <x:c r="E43" s="8" t="n">
        <x:v>-1.055281833806704</x:v>
      </x:c>
      <x:c r="F43" s="8" t="n">
        <x:v>-9.476583828116297</x:v>
      </x:c>
      <x:c r="G43" s="8" t="n">
        <x:v>-0.15281092302245192</x:v>
      </x:c>
    </x:row>
    <x:row r="44">
      <x:c r="A44" s="8" t="n">
        <x:v>-8</x:v>
      </x:c>
      <x:c r="B44" s="8" t="str">
        <x:v>R18</x:v>
      </x:c>
      <x:c r="C44" s="8" t="n">
        <x:v>3.4801234513793107</x:v>
      </x:c>
      <x:c r="D44" s="8" t="n">
        <x:v>4.0713334552559015</x:v>
      </x:c>
      <x:c r="E44" s="8" t="n">
        <x:v>-1.3839267265184199</x:v>
      </x:c>
      <x:c r="F44" s="8" t="n">
        <x:v>-8.438165746342518</x:v>
      </x:c>
      <x:c r="G44" s="8" t="n">
        <x:v>0.885607158751327</x:v>
      </x:c>
    </x:row>
    <x:row r="45">
      <x:c r="A45" s="8" t="n">
        <x:v>-8</x:v>
      </x:c>
      <x:c r="B45" s="8" t="str">
        <x:v>R19</x:v>
      </x:c>
      <x:c r="C45" s="8" t="n">
        <x:v>3.7356191689248974</x:v>
      </x:c>
      <x:c r="D45" s="8" t="n">
        <x:v>3.94008560137889</x:v>
      </x:c>
      <x:c r="E45" s="8" t="n">
        <x:v>-1.4039409274232082</x:v>
      </x:c>
      <x:c r="F45" s="8" t="n">
        <x:v>-8.871600170398981</x:v>
      </x:c>
      <x:c r="G45" s="8" t="n">
        <x:v>0.4521727346948641</x:v>
      </x:c>
    </x:row>
    <x:row r="46">
      <x:c r="A46" s="8" t="n">
        <x:v>-8</x:v>
      </x:c>
      <x:c r="B46" s="8" t="str">
        <x:v>R20</x:v>
      </x:c>
      <x:c r="C46" s="8" t="n">
        <x:v>4.077361393442308</x:v>
      </x:c>
      <x:c r="D46" s="8" t="n">
        <x:v>3.9909809949529147</x:v>
      </x:c>
      <x:c r="E46" s="8" t="n">
        <x:v>-0.32837380507959524</x:v>
      </x:c>
      <x:c r="F46" s="8" t="n">
        <x:v>-9.354695325619817</x:v>
      </x:c>
      <x:c r="G46" s="8" t="n">
        <x:v>-0.030922420525971717</x:v>
      </x:c>
    </x:row>
    <x:row r="47">
      <x:c r="A47" s="8" t="n">
        <x:v>-8</x:v>
      </x:c>
      <x:c r="B47" s="8" t="str">
        <x:v>R21</x:v>
      </x:c>
      <x:c r="C47" s="8" t="n">
        <x:v>4.087285278571365</x:v>
      </x:c>
      <x:c r="D47" s="8" t="n">
        <x:v>4.128226153833276</x:v>
      </x:c>
      <x:c r="E47" s="8" t="n">
        <x:v>-1.1066942510117832</x:v>
      </x:c>
      <x:c r="F47" s="8" t="n">
        <x:v>-9.559631161828651</x:v>
      </x:c>
      <x:c r="G47" s="8" t="n">
        <x:v>-0.2358582567348062</x:v>
      </x:c>
    </x:row>
    <x:row r="48">
      <x:c r="A48" s="8" t="n">
        <x:v>-8</x:v>
      </x:c>
      <x:c r="B48" s="8" t="str">
        <x:v>R22</x:v>
      </x:c>
      <x:c r="C48" s="8" t="n">
        <x:v>3.9853956408178703</x:v>
      </x:c>
      <x:c r="D48" s="8" t="n">
        <x:v>3.9442891277207424</x:v>
      </x:c>
      <x:c r="E48" s="8" t="n">
        <x:v>-2.1904515118849037</x:v>
      </x:c>
      <x:c r="F48" s="8" t="n">
        <x:v>-8.895140953339052</x:v>
      </x:c>
      <x:c r="G48" s="8" t="n">
        <x:v>0.4286319517547934</x:v>
      </x:c>
    </x:row>
    <x:row r="49">
      <x:c r="A49" s="8" t="n">
        <x:v>-8</x:v>
      </x:c>
      <x:c r="B49" s="8" t="str">
        <x:v>R23</x:v>
      </x:c>
      <x:c r="C49" s="8" t="n">
        <x:v>3.7650270947082256</x:v>
      </x:c>
      <x:c r="D49" s="8" t="n">
        <x:v>3.826385566879407</x:v>
      </x:c>
      <x:c r="E49" s="8" t="n">
        <x:v>-0.8346798863040255</x:v>
      </x:c>
      <x:c r="F49" s="8" t="n">
        <x:v>-8.37649665179321</x:v>
      </x:c>
      <x:c r="G49" s="8" t="n">
        <x:v>0.947276253300636</x:v>
      </x:c>
    </x:row>
    <x:row r="50">
      <x:c r="A50" s="8" t="n">
        <x:v>-8</x:v>
      </x:c>
      <x:c r="B50" s="8" t="str">
        <x:v>R24</x:v>
      </x:c>
      <x:c r="C50" s="8" t="n">
        <x:v>3.986257986183382</x:v>
      </x:c>
      <x:c r="D50" s="8" t="n">
        <x:v>4.02136879718665</x:v>
      </x:c>
      <x:c r="E50" s="8" t="n">
        <x:v>-1.950523570773214</x:v>
      </x:c>
      <x:c r="F50" s="8" t="n">
        <x:v>-8.891053916618723</x:v>
      </x:c>
      <x:c r="G50" s="8" t="n">
        <x:v>0.4327189884751217</x:v>
      </x:c>
    </x:row>
    <x:row r="51">
      <x:c r="A51" s="8" t="n">
        <x:v>-8</x:v>
      </x:c>
      <x:c r="B51" s="8" t="str">
        <x:v>R25</x:v>
      </x:c>
      <x:c r="C51" s="8" t="n">
        <x:v>3.7239464877986386</x:v>
      </x:c>
      <x:c r="D51" s="8" t="n">
        <x:v>3.9102190972368747</x:v>
      </x:c>
      <x:c r="E51" s="8" t="n">
        <x:v>-0.4083518838008549</x:v>
      </x:c>
      <x:c r="F51" s="8" t="n">
        <x:v>-8.884354648853838</x:v>
      </x:c>
      <x:c r="G51" s="8" t="n">
        <x:v>0.43941825624000685</x:v>
      </x:c>
    </x:row>
    <x:row r="52">
      <x:c r="A52" s="8" t="n">
        <x:v>-16</x:v>
      </x:c>
      <x:c r="B52" s="8" t="str">
        <x:v>R01</x:v>
      </x:c>
      <x:c r="C52" s="8" t="n">
        <x:v>3.8067979715514024</x:v>
      </x:c>
      <x:c r="D52" s="8" t="n">
        <x:v>3.661612124099883</x:v>
      </x:c>
      <x:c r="E52" s="8" t="n">
        <x:v>-3.498687534579019</x:v>
      </x:c>
      <x:c r="F52" s="8" t="n">
        <x:v>-9.532912396412414</x:v>
      </x:c>
      <x:c r="G52" s="8" t="n">
        <x:v>-0.11387654624690846</x:v>
      </x:c>
    </x:row>
    <x:row r="53">
      <x:c r="A53" s="8" t="n">
        <x:v>-16</x:v>
      </x:c>
      <x:c r="B53" s="8" t="str">
        <x:v>R02</x:v>
      </x:c>
      <x:c r="C53" s="8" t="n">
        <x:v>4.189079193178863</x:v>
      </x:c>
      <x:c r="D53" s="8" t="n">
        <x:v>3.7162397378926864</x:v>
      </x:c>
      <x:c r="E53" s="8" t="n">
        <x:v>-3.199142148119897</x:v>
      </x:c>
      <x:c r="F53" s="8" t="n">
        <x:v>-9.258788497092425</x:v>
      </x:c>
      <x:c r="G53" s="8" t="n">
        <x:v>0.16024735307308013</x:v>
      </x:c>
    </x:row>
    <x:row r="54">
      <x:c r="A54" s="8" t="n">
        <x:v>-16</x:v>
      </x:c>
      <x:c r="B54" s="8" t="str">
        <x:v>R03</x:v>
      </x:c>
      <x:c r="C54" s="8" t="n">
        <x:v>3.7185414024672503</x:v>
      </x:c>
      <x:c r="D54" s="8" t="n">
        <x:v>3.7836887807663513</x:v>
      </x:c>
      <x:c r="E54" s="8" t="n">
        <x:v>-3.101829515823934</x:v>
      </x:c>
      <x:c r="F54" s="8" t="n">
        <x:v>-9.211805174124093</x:v>
      </x:c>
      <x:c r="G54" s="8" t="n">
        <x:v>0.2072306760414122</x:v>
      </x:c>
    </x:row>
    <x:row r="55">
      <x:c r="A55" s="8" t="n">
        <x:v>-16</x:v>
      </x:c>
      <x:c r="B55" s="8" t="str">
        <x:v>R04</x:v>
      </x:c>
      <x:c r="C55" s="8" t="n">
        <x:v>3.827205808878672</x:v>
      </x:c>
      <x:c r="D55" s="8" t="n">
        <x:v>3.8125090518778078</x:v>
      </x:c>
      <x:c r="E55" s="8" t="n">
        <x:v>-3.337296298139863</x:v>
      </x:c>
      <x:c r="F55" s="8" t="n">
        <x:v>-9.244646457381037</x:v>
      </x:c>
      <x:c r="G55" s="8" t="n">
        <x:v>0.17438939278446774</x:v>
      </x:c>
    </x:row>
    <x:row r="56">
      <x:c r="A56" s="8" t="n">
        <x:v>-16</x:v>
      </x:c>
      <x:c r="B56" s="8" t="str">
        <x:v>R05</x:v>
      </x:c>
      <x:c r="C56" s="8" t="n">
        <x:v>3.89402140117306</x:v>
      </x:c>
      <x:c r="D56" s="8" t="n">
        <x:v>3.694941877983139</x:v>
      </x:c>
      <x:c r="E56" s="8" t="n">
        <x:v>-3.246103452393099</x:v>
      </x:c>
      <x:c r="F56" s="8" t="n">
        <x:v>-9.661202772583016</x:v>
      </x:c>
      <x:c r="G56" s="8" t="n">
        <x:v>-0.24216692241751048</x:v>
      </x:c>
    </x:row>
    <x:row r="57">
      <x:c r="A57" s="8" t="n">
        <x:v>-16</x:v>
      </x:c>
      <x:c r="B57" s="8" t="str">
        <x:v>R06</x:v>
      </x:c>
      <x:c r="C57" s="8" t="n">
        <x:v>3.944997241488469</x:v>
      </x:c>
      <x:c r="D57" s="8" t="n">
        <x:v>3.7752372951821638</x:v>
      </x:c>
      <x:c r="E57" s="8" t="n">
        <x:v>-1.5889710455791648</x:v>
      </x:c>
      <x:c r="F57" s="8" t="n">
        <x:v>-9.150355821380444</x:v>
      </x:c>
      <x:c r="G57" s="8" t="n">
        <x:v>0.26868002878506125</x:v>
      </x:c>
    </x:row>
    <x:row r="58">
      <x:c r="A58" s="8" t="n">
        <x:v>-16</x:v>
      </x:c>
      <x:c r="B58" s="8" t="str">
        <x:v>R07</x:v>
      </x:c>
      <x:c r="C58" s="8" t="n">
        <x:v>3.8175244951702667</x:v>
      </x:c>
      <x:c r="D58" s="8" t="n">
        <x:v>3.761884847000552</x:v>
      </x:c>
      <x:c r="E58" s="8" t="n">
        <x:v>-1.0722885326993195</x:v>
      </x:c>
      <x:c r="F58" s="8" t="n">
        <x:v>-8.765578230920013</x:v>
      </x:c>
      <x:c r="G58" s="8" t="n">
        <x:v>0.6534576192454917</x:v>
      </x:c>
    </x:row>
    <x:row r="59">
      <x:c r="A59" s="8" t="n">
        <x:v>-16</x:v>
      </x:c>
      <x:c r="B59" s="8" t="str">
        <x:v>R08</x:v>
      </x:c>
      <x:c r="C59" s="8" t="n">
        <x:v>3.9222037545590323</x:v>
      </x:c>
      <x:c r="D59" s="8" t="n">
        <x:v>3.6901292057677426</x:v>
      </x:c>
      <x:c r="E59" s="8" t="n">
        <x:v>-1.3542736090556486</x:v>
      </x:c>
      <x:c r="F59" s="8" t="n">
        <x:v>-8.893680643271178</x:v>
      </x:c>
      <x:c r="G59" s="8" t="n">
        <x:v>0.5253552068943268</x:v>
      </x:c>
    </x:row>
    <x:row r="60">
      <x:c r="A60" s="8" t="n">
        <x:v>-16</x:v>
      </x:c>
      <x:c r="B60" s="8" t="str">
        <x:v>R09</x:v>
      </x:c>
      <x:c r="C60" s="8" t="n">
        <x:v>3.7281239397187322</x:v>
      </x:c>
      <x:c r="D60" s="8" t="n">
        <x:v>3.8233900158251037</x:v>
      </x:c>
      <x:c r="E60" s="8" t="n">
        <x:v>-2.1019673525693494</x:v>
      </x:c>
      <x:c r="F60" s="8" t="n">
        <x:v>-9.146399983992868</x:v>
      </x:c>
      <x:c r="G60" s="8" t="n">
        <x:v>0.2726358661726369</x:v>
      </x:c>
    </x:row>
    <x:row r="61">
      <x:c r="A61" s="8" t="n">
        <x:v>-16</x:v>
      </x:c>
      <x:c r="B61" s="8" t="str">
        <x:v>R10</x:v>
      </x:c>
      <x:c r="C61" s="8" t="n">
        <x:v>3.807954711117853</x:v>
      </x:c>
      <x:c r="D61" s="8" t="n">
        <x:v>3.764211870835544</x:v>
      </x:c>
      <x:c r="E61" s="8" t="n">
        <x:v>-3.4922291572648296</x:v>
      </x:c>
      <x:c r="F61" s="8" t="n">
        <x:v>-10.072852413135829</x:v>
      </x:c>
      <x:c r="G61" s="8" t="n">
        <x:v>-0.6538165629703236</x:v>
      </x:c>
    </x:row>
    <x:row r="62">
      <x:c r="A62" s="8" t="n">
        <x:v>-16</x:v>
      </x:c>
      <x:c r="B62" s="8" t="str">
        <x:v>R11</x:v>
      </x:c>
      <x:c r="C62" s="8" t="n">
        <x:v>4.265936514266214</x:v>
      </x:c>
      <x:c r="D62" s="8" t="n">
        <x:v>3.8312007615256793</x:v>
      </x:c>
      <x:c r="E62" s="8" t="n">
        <x:v>-0.9803848194932492</x:v>
      </x:c>
      <x:c r="F62" s="8" t="n">
        <x:v>-9.572635144573717</x:v>
      </x:c>
      <x:c r="G62" s="8" t="n">
        <x:v>-0.1535992944082114</x:v>
      </x:c>
    </x:row>
    <x:row r="63">
      <x:c r="A63" s="8" t="n">
        <x:v>-16</x:v>
      </x:c>
      <x:c r="B63" s="8" t="str">
        <x:v>R12</x:v>
      </x:c>
      <x:c r="C63" s="8" t="n">
        <x:v>3.7608377611590815</x:v>
      </x:c>
      <x:c r="D63" s="8" t="n">
        <x:v>3.8013459121583786</x:v>
      </x:c>
      <x:c r="E63" s="8" t="n">
        <x:v>-1.884771667271644</x:v>
      </x:c>
      <x:c r="F63" s="8" t="n">
        <x:v>-9.439816542645934</x:v>
      </x:c>
      <x:c r="G63" s="8" t="n">
        <x:v>-0.020780692480428797</x:v>
      </x:c>
    </x:row>
    <x:row r="64">
      <x:c r="A64" s="8" t="n">
        <x:v>-16</x:v>
      </x:c>
      <x:c r="B64" s="8" t="str">
        <x:v>R13</x:v>
      </x:c>
      <x:c r="C64" s="8" t="n">
        <x:v>3.889750755729521</x:v>
      </x:c>
      <x:c r="D64" s="8" t="n">
        <x:v>3.9185907840958527</x:v>
      </x:c>
      <x:c r="E64" s="8" t="n">
        <x:v>-1.6202024204384382</x:v>
      </x:c>
      <x:c r="F64" s="8" t="n">
        <x:v>-9.566475532178902</x:v>
      </x:c>
      <x:c r="G64" s="8" t="n">
        <x:v>-0.1474396820133972</x:v>
      </x:c>
    </x:row>
    <x:row r="65">
      <x:c r="A65" s="8" t="n">
        <x:v>-16</x:v>
      </x:c>
      <x:c r="B65" s="8" t="str">
        <x:v>R14</x:v>
      </x:c>
      <x:c r="C65" s="8" t="n">
        <x:v>3.7893230785435903</x:v>
      </x:c>
      <x:c r="D65" s="8" t="n">
        <x:v>4.047276044697697</x:v>
      </x:c>
      <x:c r="E65" s="8" t="n">
        <x:v>-1.59226476322939</x:v>
      </x:c>
      <x:c r="F65" s="8" t="n">
        <x:v>-9.150551886224532</x:v>
      </x:c>
      <x:c r="G65" s="8" t="n">
        <x:v>0.26848396394097307</x:v>
      </x:c>
    </x:row>
    <x:row r="66">
      <x:c r="A66" s="8" t="n">
        <x:v>-16</x:v>
      </x:c>
      <x:c r="B66" s="8" t="str">
        <x:v>R15</x:v>
      </x:c>
      <x:c r="C66" s="8" t="n">
        <x:v>3.6919192717492435</x:v>
      </x:c>
      <x:c r="D66" s="8" t="n">
        <x:v>3.781370705027308</x:v>
      </x:c>
      <x:c r="E66" s="8" t="n">
        <x:v>-1.393498528630487</x:v>
      </x:c>
      <x:c r="F66" s="8" t="n">
        <x:v>-9.135250608082675</x:v>
      </x:c>
      <x:c r="G66" s="8" t="n">
        <x:v>0.2837852420828302</x:v>
      </x:c>
    </x:row>
    <x:row r="67">
      <x:c r="A67" s="8" t="n">
        <x:v>-16</x:v>
      </x:c>
      <x:c r="B67" s="8" t="str">
        <x:v>R16</x:v>
      </x:c>
      <x:c r="C67" s="8" t="n">
        <x:v>3.6362144699634507</x:v>
      </x:c>
      <x:c r="D67" s="8" t="n">
        <x:v>4.067641039687227</x:v>
      </x:c>
      <x:c r="E67" s="8" t="n">
        <x:v>-2.2618676415478185</x:v>
      </x:c>
      <x:c r="F67" s="8" t="n">
        <x:v>-9.610391520313279</x:v>
      </x:c>
      <x:c r="G67" s="8" t="n">
        <x:v>-0.19135567014777344</x:v>
      </x:c>
    </x:row>
    <x:row r="68">
      <x:c r="A68" s="8" t="n">
        <x:v>-16</x:v>
      </x:c>
      <x:c r="B68" s="8" t="str">
        <x:v>R17</x:v>
      </x:c>
      <x:c r="C68" s="8" t="n">
        <x:v>4.033567756373516</x:v>
      </x:c>
      <x:c r="D68" s="8" t="n">
        <x:v>4.0940632260591405</x:v>
      </x:c>
      <x:c r="E68" s="8" t="n">
        <x:v>-1.022879419679668</x:v>
      </x:c>
      <x:c r="F68" s="8" t="n">
        <x:v>-9.948524723158465</x:v>
      </x:c>
      <x:c r="G68" s="8" t="n">
        <x:v>-0.5294888729929603</x:v>
      </x:c>
    </x:row>
    <x:row r="69">
      <x:c r="A69" s="8" t="n">
        <x:v>-16</x:v>
      </x:c>
      <x:c r="B69" s="8" t="str">
        <x:v>R18</x:v>
      </x:c>
      <x:c r="C69" s="8" t="n">
        <x:v>3.599162921619368</x:v>
      </x:c>
      <x:c r="D69" s="8" t="n">
        <x:v>3.9773687094360524</x:v>
      </x:c>
      <x:c r="E69" s="8" t="n">
        <x:v>-1.120055433652301</x:v>
      </x:c>
      <x:c r="F69" s="8" t="n">
        <x:v>-9.178788827771058</x:v>
      </x:c>
      <x:c r="G69" s="8" t="n">
        <x:v>0.24024702239444728</x:v>
      </x:c>
    </x:row>
    <x:row r="70">
      <x:c r="A70" s="8" t="n">
        <x:v>-16</x:v>
      </x:c>
      <x:c r="B70" s="8" t="str">
        <x:v>R19</x:v>
      </x:c>
      <x:c r="C70" s="8" t="n">
        <x:v>3.792159951172876</x:v>
      </x:c>
      <x:c r="D70" s="8" t="n">
        <x:v>3.9242410013140985</x:v>
      </x:c>
      <x:c r="E70" s="8" t="n">
        <x:v>-1.6988581977414954</x:v>
      </x:c>
      <x:c r="F70" s="8" t="n">
        <x:v>-9.293745742157425</x:v>
      </x:c>
      <x:c r="G70" s="8" t="n">
        <x:v>0.12529010800808038</x:v>
      </x:c>
    </x:row>
    <x:row r="71">
      <x:c r="A71" s="8" t="n">
        <x:v>-16</x:v>
      </x:c>
      <x:c r="B71" s="8" t="str">
        <x:v>R20</x:v>
      </x:c>
      <x:c r="C71" s="8" t="n">
        <x:v>3.6714583890483365</x:v>
      </x:c>
      <x:c r="D71" s="8" t="n">
        <x:v>3.9902483202526122</x:v>
      </x:c>
      <x:c r="E71" s="8" t="n">
        <x:v>-0.8533102224582977</x:v>
      </x:c>
      <x:c r="F71" s="8" t="n">
        <x:v>-9.674913766338877</x:v>
      </x:c>
      <x:c r="G71" s="8" t="n">
        <x:v>-0.25587791617337174</x:v>
      </x:c>
    </x:row>
    <x:row r="72">
      <x:c r="A72" s="8" t="n">
        <x:v>-16</x:v>
      </x:c>
      <x:c r="B72" s="8" t="str">
        <x:v>R21</x:v>
      </x:c>
      <x:c r="C72" s="8" t="n">
        <x:v>3.90358444514553</x:v>
      </x:c>
      <x:c r="D72" s="8" t="n">
        <x:v>4.136058711649911</x:v>
      </x:c>
      <x:c r="E72" s="8" t="n">
        <x:v>-1.601205693071734</x:v>
      </x:c>
      <x:c r="F72" s="8" t="n">
        <x:v>-10.33501400886075</x:v>
      </x:c>
      <x:c r="G72" s="8" t="n">
        <x:v>-0.9159781586952445</x:v>
      </x:c>
    </x:row>
    <x:row r="73">
      <x:c r="A73" s="8" t="n">
        <x:v>-16</x:v>
      </x:c>
      <x:c r="B73" s="8" t="str">
        <x:v>R22</x:v>
      </x:c>
      <x:c r="C73" s="8" t="n">
        <x:v>3.7935382982975314</x:v>
      </x:c>
      <x:c r="D73" s="8" t="n">
        <x:v>3.8989715952115813</x:v>
      </x:c>
      <x:c r="E73" s="8" t="n">
        <x:v>-2.6850219878663943</x:v>
      </x:c>
      <x:c r="F73" s="8" t="n">
        <x:v>-9.29764591778934</x:v>
      </x:c>
      <x:c r="G73" s="8" t="n">
        <x:v>0.12138993237616447</x:v>
      </x:c>
    </x:row>
    <x:row r="74">
      <x:c r="A74" s="8" t="n">
        <x:v>-16</x:v>
      </x:c>
      <x:c r="B74" s="8" t="str">
        <x:v>R23</x:v>
      </x:c>
      <x:c r="C74" s="8" t="n">
        <x:v>3.627869891135296</x:v>
      </x:c>
      <x:c r="D74" s="8" t="n">
        <x:v>3.8520254785881134</x:v>
      </x:c>
      <x:c r="E74" s="8" t="n">
        <x:v>-1.6036912786331317</x:v>
      </x:c>
      <x:c r="F74" s="8" t="n">
        <x:v>-9.020366938599567</x:v>
      </x:c>
      <x:c r="G74" s="8" t="n">
        <x:v>0.3986689115659381</x:v>
      </x:c>
    </x:row>
    <x:row r="75">
      <x:c r="A75" s="8" t="n">
        <x:v>-16</x:v>
      </x:c>
      <x:c r="B75" s="8" t="str">
        <x:v>R24</x:v>
      </x:c>
      <x:c r="C75" s="8" t="n">
        <x:v>3.8807445471667124</x:v>
      </x:c>
      <x:c r="D75" s="8" t="n">
        <x:v>3.935211901822296</x:v>
      </x:c>
      <x:c r="E75" s="8" t="n">
        <x:v>-2.625956320724483</x:v>
      </x:c>
      <x:c r="F75" s="8" t="n">
        <x:v>-9.685326012690084</x:v>
      </x:c>
      <x:c r="G75" s="8" t="n">
        <x:v>-0.2662901625245784</x:v>
      </x:c>
    </x:row>
    <x:row r="76">
      <x:c r="A76" s="8" t="n">
        <x:v>-16</x:v>
      </x:c>
      <x:c r="B76" s="8" t="str">
        <x:v>R25</x:v>
      </x:c>
      <x:c r="C76" s="8" t="n">
        <x:v>3.630023279084817</x:v>
      </x:c>
      <x:c r="D76" s="8" t="n">
        <x:v>3.83171701287063</x:v>
      </x:c>
      <x:c r="E76" s="8" t="n">
        <x:v>-1.0338554743133856</x:v>
      </x:c>
      <x:c r="F76" s="8" t="n">
        <x:v>-9.62822669245972</x:v>
      </x:c>
      <x:c r="G76" s="8" t="n">
        <x:v>-0.20919084229421436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4" customHeight="1">
      <x:c r="A1" s="4" t="str">
        <x:v>Angulo</x:v>
      </x:c>
      <x:c r="B1" s="4" t="str">
        <x:v>Receptor</x:v>
      </x:c>
      <x:c r="C1" s="4" t="str">
        <x:v>ODEON_EDT_s</x:v>
      </x:c>
      <x:c r="D1" s="4" t="str">
        <x:v>ISimpa_EDT_s</x:v>
      </x:c>
      <x:c r="E1" s="4" t="str">
        <x:v>Delta_EDT_s</x:v>
      </x:c>
      <x:c r="F1" s="4" t="str">
        <x:v>ODEON_T30_s</x:v>
      </x:c>
      <x:c r="G1" s="4" t="str">
        <x:v>ISimpa_T30_s</x:v>
      </x:c>
      <x:c r="H1" s="4" t="str">
        <x:v>Delta_T30_s</x:v>
      </x:c>
      <x:c r="I1" s="4" t="str">
        <x:v>ODEON_C80_dB</x:v>
      </x:c>
      <x:c r="J1" s="4" t="str">
        <x:v>ISimpa_C80_dB</x:v>
      </x:c>
      <x:c r="K1" s="4" t="str">
        <x:v>Delta_C80_dB</x:v>
      </x:c>
      <x:c r="L1" s="4" t="str">
        <x:v>Pyroom_C80_dB</x:v>
      </x:c>
      <x:c r="M1" s="4" t="str">
        <x:v>Delta_IS_Py_C80</x:v>
      </x:c>
      <x:c r="N1" s="4" t="str">
        <x:v>ODEON_Ts_ms</x:v>
      </x:c>
      <x:c r="O1" s="4" t="str">
        <x:v>ISimpa_Ts_ms</x:v>
      </x:c>
      <x:c r="P1" s="4" t="str">
        <x:v>Delta_Ts_ms</x:v>
      </x:c>
      <x:c r="Q1" s="4" t="str">
        <x:v>ISimpa_SPL_dB</x:v>
      </x:c>
    </x:row>
    <x:row r="2">
      <x:c r="A2" s="8" t="n">
        <x:v>0</x:v>
      </x:c>
      <x:c r="B2" s="8" t="str">
        <x:v>R01</x:v>
      </x:c>
      <x:c r="C2" s="8" t="n">
        <x:v>3.56</x:v>
      </x:c>
      <x:c r="D2" s="8" t="n">
        <x:v>3.900218963623047</x:v>
      </x:c>
      <x:c r="E2" s="10" t="n">
        <x:f>D2-C2</x:f>
        <x:v>0.3402189636230468</x:v>
      </x:c>
      <x:c r="F2" s="8" t="n">
        <x:v>3.37</x:v>
      </x:c>
      <x:c r="G2" s="8" t="n">
        <x:v>3.8465256690979004</x:v>
      </x:c>
      <x:c r="H2" s="10" t="n">
        <x:f>G2-F2</x:f>
        <x:v>0.4765256690979003</x:v>
      </x:c>
      <x:c r="I2" s="8" t="n">
        <x:v>-3.4</x:v>
      </x:c>
      <x:c r="J2" s="8" t="n">
        <x:v>-5.223169803619385</x:v>
      </x:c>
      <x:c r="K2" s="10" t="n">
        <x:f>J2-I2</x:f>
        <x:v>-1.8231698036193849</x:v>
      </x:c>
      <x:c r="L2" s="8" t="n">
        <x:v>-7.02395730351927</x:v>
      </x:c>
      <x:c r="M2" s="10" t="n">
        <x:f>J2-L2</x:f>
        <x:v>1.8007874998998856</x:v>
      </x:c>
      <x:c r="N2" s="8" t="n">
        <x:v>242</x:v>
      </x:c>
      <x:c r="O2" s="8" t="n">
        <x:v>306.3796081542969</x:v>
      </x:c>
      <x:c r="P2" s="10" t="n">
        <x:f>O2-N2</x:f>
        <x:v>64.37960815429688</x:v>
      </x:c>
      <x:c r="Q2" s="8" t="n">
        <x:v>69.27621459960938</x:v>
      </x:c>
    </x:row>
    <x:row r="3">
      <x:c r="A3" s="8" t="n">
        <x:v>0</x:v>
      </x:c>
      <x:c r="B3" s="8" t="str">
        <x:v>R02</x:v>
      </x:c>
      <x:c r="C3" s="8" t="n">
        <x:v>3.59</x:v>
      </x:c>
      <x:c r="D3" s="8" t="n">
        <x:v>4.070389270782471</x:v>
      </x:c>
      <x:c r="E3" s="10" t="n">
        <x:f>D3-C3</x:f>
        <x:v>0.48038927078247085</x:v>
      </x:c>
      <x:c r="F3" s="8" t="n">
        <x:v>3.37</x:v>
      </x:c>
      <x:c r="G3" s="8" t="n">
        <x:v>3.78080415725708</x:v>
      </x:c>
      <x:c r="H3" s="10" t="n">
        <x:f>G3-F3</x:f>
        <x:v>0.41080415725707997</x:v>
      </x:c>
      <x:c r="I3" s="8" t="n">
        <x:v>-5.1</x:v>
      </x:c>
      <x:c r="J3" s="8" t="n">
        <x:v>-7.6647796630859375</x:v>
      </x:c>
      <x:c r="K3" s="10" t="n">
        <x:f>J3-I3</x:f>
        <x:v>-2.564779663085938</x:v>
      </x:c>
      <x:c r="L3" s="8" t="n">
        <x:v>-8.723971966046621</x:v>
      </x:c>
      <x:c r="M3" s="10" t="n">
        <x:f>J3-L3</x:f>
        <x:v>1.0591923029606836</x:v>
      </x:c>
      <x:c r="N3" s="8" t="n">
        <x:v>265</x:v>
      </x:c>
      <x:c r="O3" s="8" t="n">
        <x:v>324.63360595703125</x:v>
      </x:c>
      <x:c r="P3" s="10" t="n">
        <x:f>O3-N3</x:f>
        <x:v>59.63360595703125</x:v>
      </x:c>
      <x:c r="Q3" s="8" t="n">
        <x:v>69.09675598144531</x:v>
      </x:c>
    </x:row>
    <x:row r="4">
      <x:c r="A4" s="8" t="n">
        <x:v>0</x:v>
      </x:c>
      <x:c r="B4" s="8" t="str">
        <x:v>R03</x:v>
      </x:c>
      <x:c r="C4" s="8" t="n">
        <x:v>3.64</x:v>
      </x:c>
      <x:c r="D4" s="8" t="n">
        <x:v>4.0459794998168945</x:v>
      </x:c>
      <x:c r="E4" s="10" t="n">
        <x:f>D4-C4</x:f>
        <x:v>0.4059794998168944</x:v>
      </x:c>
      <x:c r="F4" s="8" t="n">
        <x:v>3.36</x:v>
      </x:c>
      <x:c r="G4" s="8" t="n">
        <x:v>3.7813966274261475</x:v>
      </x:c>
      <x:c r="H4" s="10" t="n">
        <x:f>G4-F4</x:f>
        <x:v>0.4213966274261476</x:v>
      </x:c>
      <x:c r="I4" s="8" t="n">
        <x:v>-5.5</x:v>
      </x:c>
      <x:c r="J4" s="8" t="n">
        <x:v>-7.689343452453613</x:v>
      </x:c>
      <x:c r="K4" s="10" t="n">
        <x:f>J4-I4</x:f>
        <x:v>-2.1893434524536133</x:v>
      </x:c>
      <x:c r="L4" s="8" t="n">
        <x:v>-8.594127551054553</x:v>
      </x:c>
      <x:c r="M4" s="10" t="n">
        <x:f>J4-L4</x:f>
        <x:v>0.9047840986009401</x:v>
      </x:c>
      <x:c r="N4" s="8" t="n">
        <x:v>268</x:v>
      </x:c>
      <x:c r="O4" s="8" t="n">
        <x:v>328.4505310058594</x:v>
      </x:c>
      <x:c r="P4" s="10" t="n">
        <x:f>O4-N4</x:f>
        <x:v>60.450531005859375</x:v>
      </x:c>
      <x:c r="Q4" s="8" t="n">
        <x:v>68.96600341796875</x:v>
      </x:c>
    </x:row>
    <x:row r="5">
      <x:c r="A5" s="8" t="n">
        <x:v>0</x:v>
      </x:c>
      <x:c r="B5" s="8" t="str">
        <x:v>R04</x:v>
      </x:c>
      <x:c r="C5" s="8" t="n">
        <x:v>3.39</x:v>
      </x:c>
      <x:c r="D5" s="8" t="n">
        <x:v>3.983111619949341</x:v>
      </x:c>
      <x:c r="E5" s="10" t="n">
        <x:f>D5-C5</x:f>
        <x:v>0.5931116199493407</x:v>
      </x:c>
      <x:c r="F5" s="8" t="n">
        <x:v>3.39</x:v>
      </x:c>
      <x:c r="G5" s="8" t="n">
        <x:v>3.798008918762207</x:v>
      </x:c>
      <x:c r="H5" s="10" t="n">
        <x:f>G5-F5</x:f>
        <x:v>0.4080089187622069</x:v>
      </x:c>
      <x:c r="I5" s="8" t="n">
        <x:v>-4.5</x:v>
      </x:c>
      <x:c r="J5" s="8" t="n">
        <x:v>-6.1138200759887695</x:v>
      </x:c>
      <x:c r="K5" s="10" t="n">
        <x:f>J5-I5</x:f>
        <x:v>-1.6138200759887695</x:v>
      </x:c>
      <x:c r="L5" s="8" t="n">
        <x:v>-6.847054850200162</x:v>
      </x:c>
      <x:c r="M5" s="10" t="n">
        <x:f>J5-L5</x:f>
        <x:v>0.7332347742113923</x:v>
      </x:c>
      <x:c r="N5" s="8" t="n">
        <x:v>241</x:v>
      </x:c>
      <x:c r="O5" s="8" t="n">
        <x:v>314.1507568359375</x:v>
      </x:c>
      <x:c r="P5" s="10" t="n">
        <x:f>O5-N5</x:f>
        <x:v>73.1507568359375</x:v>
      </x:c>
      <x:c r="Q5" s="8" t="n">
        <x:v>69.23123168945312</x:v>
      </x:c>
    </x:row>
    <x:row r="6">
      <x:c r="A6" s="8" t="n">
        <x:v>0</x:v>
      </x:c>
      <x:c r="B6" s="8" t="str">
        <x:v>R05</x:v>
      </x:c>
      <x:c r="C6" s="8" t="n">
        <x:v>3.67</x:v>
      </x:c>
      <x:c r="D6" s="8" t="n">
        <x:v>3.8515236377716064</x:v>
      </x:c>
      <x:c r="E6" s="10" t="n">
        <x:f>D6-C6</x:f>
        <x:v>0.18152363777160652</x:v>
      </x:c>
      <x:c r="F6" s="8" t="n">
        <x:v>3.17</x:v>
      </x:c>
      <x:c r="G6" s="8" t="n">
        <x:v>3.7917227745056152</x:v>
      </x:c>
      <x:c r="H6" s="10" t="n">
        <x:f>G6-F6</x:f>
        <x:v>0.6217227745056153</x:v>
      </x:c>
      <x:c r="I6" s="8" t="n">
        <x:v>-3.8</x:v>
      </x:c>
      <x:c r="J6" s="8" t="n">
        <x:v>-4.923471927642822</x:v>
      </x:c>
      <x:c r="K6" s="10" t="n">
        <x:f>J6-I6</x:f>
        <x:v>-1.1234719276428224</x:v>
      </x:c>
      <x:c r="L6" s="8" t="n">
        <x:v>-6.3225566273359775</x:v>
      </x:c>
      <x:c r="M6" s="10" t="n">
        <x:f>J6-L6</x:f>
        <x:v>1.3990846996931552</x:v>
      </x:c>
      <x:c r="N6" s="8" t="n">
        <x:v>252</x:v>
      </x:c>
      <x:c r="O6" s="8" t="n">
        <x:v>303.0946350097656</x:v>
      </x:c>
      <x:c r="P6" s="10" t="n">
        <x:f>O6-N6</x:f>
        <x:v>51.094635009765625</x:v>
      </x:c>
      <x:c r="Q6" s="8" t="n">
        <x:v>69.39511108398438</x:v>
      </x:c>
    </x:row>
    <x:row r="7">
      <x:c r="A7" s="8" t="n">
        <x:v>0</x:v>
      </x:c>
      <x:c r="B7" s="8" t="str">
        <x:v>R06</x:v>
      </x:c>
      <x:c r="C7" s="8" t="n">
        <x:v>3.34</x:v>
      </x:c>
      <x:c r="D7" s="8" t="n">
        <x:v>3.877764940261841</x:v>
      </x:c>
      <x:c r="E7" s="10" t="n">
        <x:f>D7-C7</x:f>
        <x:v>0.537764940261841</x:v>
      </x:c>
      <x:c r="F7" s="8" t="n">
        <x:v>3.37</x:v>
      </x:c>
      <x:c r="G7" s="8" t="n">
        <x:v>3.8046629428863525</x:v>
      </x:c>
      <x:c r="H7" s="10" t="n">
        <x:f>G7-F7</x:f>
        <x:v>0.43466294288635243</x:v>
      </x:c>
      <x:c r="I7" s="8" t="n">
        <x:v>-1.3</x:v>
      </x:c>
      <x:c r="J7" s="8" t="n">
        <x:v>-2.7814369201660156</x:v>
      </x:c>
      <x:c r="K7" s="10" t="n">
        <x:f>J7-I7</x:f>
        <x:v>-1.4814369201660156</x:v>
      </x:c>
      <x:c r="L7" s="8" t="n">
        <x:v>-3.612219534747428</x:v>
      </x:c>
      <x:c r="M7" s="10" t="n">
        <x:f>J7-L7</x:f>
        <x:v>0.8307826145814126</x:v>
      </x:c>
      <x:c r="N7" s="8" t="n">
        <x:v>203</x:v>
      </x:c>
      <x:c r="O7" s="8" t="n">
        <x:v>271.8531799316406</x:v>
      </x:c>
      <x:c r="P7" s="10" t="n">
        <x:f>O7-N7</x:f>
        <x:v>68.85317993164062</x:v>
      </x:c>
      <x:c r="Q7" s="8" t="n">
        <x:v>69.99652862548828</x:v>
      </x:c>
    </x:row>
    <x:row r="8">
      <x:c r="A8" s="8" t="n">
        <x:v>0</x:v>
      </x:c>
      <x:c r="B8" s="8" t="str">
        <x:v>R07</x:v>
      </x:c>
      <x:c r="C8" s="8" t="n">
        <x:v>3.47</x:v>
      </x:c>
      <x:c r="D8" s="8" t="n">
        <x:v>3.9035496711730957</x:v>
      </x:c>
      <x:c r="E8" s="10" t="n">
        <x:f>D8-C8</x:f>
        <x:v>0.4335496711730955</x:v>
      </x:c>
      <x:c r="F8" s="8" t="n">
        <x:v>3.35</x:v>
      </x:c>
      <x:c r="G8" s="8" t="n">
        <x:v>3.7511191368103027</x:v>
      </x:c>
      <x:c r="H8" s="10" t="n">
        <x:f>G8-F8</x:f>
        <x:v>0.40111913681030265</x:v>
      </x:c>
      <x:c r="I8" s="8" t="n">
        <x:v>-1.4</x:v>
      </x:c>
      <x:c r="J8" s="8" t="n">
        <x:v>-2.438908338546753</x:v>
      </x:c>
      <x:c r="K8" s="10" t="n">
        <x:f>J8-I8</x:f>
        <x:v>-1.038908338546753</x:v>
      </x:c>
      <x:c r="L8" s="8" t="n">
        <x:v>-4.049643904056851</x:v>
      </x:c>
      <x:c r="M8" s="10" t="n">
        <x:f>J8-L8</x:f>
        <x:v>1.6107355655100983</x:v>
      </x:c>
      <x:c r="N8" s="8" t="n">
        <x:v>207</x:v>
      </x:c>
      <x:c r="O8" s="8" t="n">
        <x:v>270.05987548828125</x:v>
      </x:c>
      <x:c r="P8" s="10" t="n">
        <x:f>O8-N8</x:f>
        <x:v>63.05987548828125</x:v>
      </x:c>
      <x:c r="Q8" s="8" t="n">
        <x:v>70.00516510009766</x:v>
      </x:c>
    </x:row>
    <x:row r="9">
      <x:c r="A9" s="8" t="n">
        <x:v>0</x:v>
      </x:c>
      <x:c r="B9" s="8" t="str">
        <x:v>R08</x:v>
      </x:c>
      <x:c r="C9" s="8" t="n">
        <x:v>3.55</x:v>
      </x:c>
      <x:c r="D9" s="8" t="n">
        <x:v>3.7927300930023193</x:v>
      </x:c>
      <x:c r="E9" s="10" t="n">
        <x:f>D9-C9</x:f>
        <x:v>0.2427300930023195</x:v>
      </x:c>
      <x:c r="F9" s="8" t="n">
        <x:v>3.3</x:v>
      </x:c>
      <x:c r="G9" s="8" t="n">
        <x:v>3.805368185043335</x:v>
      </x:c>
      <x:c r="H9" s="10" t="n">
        <x:f>G9-F9</x:f>
        <x:v>0.5053681850433351</x:v>
      </x:c>
      <x:c r="I9" s="8" t="n">
        <x:v>-1.3</x:v>
      </x:c>
      <x:c r="J9" s="8" t="n">
        <x:v>-2.402369499206543</x:v>
      </x:c>
      <x:c r="K9" s="10" t="n">
        <x:f>J9-I9</x:f>
        <x:v>-1.102369499206543</x:v>
      </x:c>
      <x:c r="L9" s="8" t="n">
        <x:v>-4.791341260407465</x:v>
      </x:c>
      <x:c r="M9" s="10" t="n">
        <x:f>J9-L9</x:f>
        <x:v>2.3889717612009225</x:v>
      </x:c>
      <x:c r="N9" s="8" t="n">
        <x:v>207</x:v>
      </x:c>
      <x:c r="O9" s="8" t="n">
        <x:v>260.7682189941406</x:v>
      </x:c>
      <x:c r="P9" s="10" t="n">
        <x:f>O9-N9</x:f>
        <x:v>53.768218994140625</x:v>
      </x:c>
      <x:c r="Q9" s="8" t="n">
        <x:v>70.27008819580078</x:v>
      </x:c>
    </x:row>
    <x:row r="10">
      <x:c r="A10" s="8" t="n">
        <x:v>0</x:v>
      </x:c>
      <x:c r="B10" s="8" t="str">
        <x:v>R09</x:v>
      </x:c>
      <x:c r="C10" s="8" t="n">
        <x:v>3.54</x:v>
      </x:c>
      <x:c r="D10" s="8" t="n">
        <x:v>3.8386359214782715</x:v>
      </x:c>
      <x:c r="E10" s="10" t="n">
        <x:f>D10-C10</x:f>
        <x:v>0.29863592147827145</x:v>
      </x:c>
      <x:c r="F10" s="8" t="n">
        <x:v>3.34</x:v>
      </x:c>
      <x:c r="G10" s="8" t="n">
        <x:v>3.8380939960479736</x:v>
      </x:c>
      <x:c r="H10" s="10" t="n">
        <x:f>G10-F10</x:f>
        <x:v>0.4980939960479738</x:v>
      </x:c>
      <x:c r="I10" s="8" t="n">
        <x:v>-1</x:v>
      </x:c>
      <x:c r="J10" s="8" t="n">
        <x:v>-2.542029619216919</x:v>
      </x:c>
      <x:c r="K10" s="10" t="n">
        <x:f>J10-I10</x:f>
        <x:v>-1.542029619216919</x:v>
      </x:c>
      <x:c r="L10" s="8" t="n">
        <x:v>-4.923924135552481</x:v>
      </x:c>
      <x:c r="M10" s="10" t="n">
        <x:f>J10-L10</x:f>
        <x:v>2.381894516335562</x:v>
      </x:c>
      <x:c r="N10" s="8" t="n">
        <x:v>203</x:v>
      </x:c>
      <x:c r="O10" s="8" t="n">
        <x:v>270.6219787597656</x:v>
      </x:c>
      <x:c r="P10" s="10" t="n">
        <x:f>O10-N10</x:f>
        <x:v>67.62197875976562</x:v>
      </x:c>
      <x:c r="Q10" s="8" t="n">
        <x:v>70.01423645019531</x:v>
      </x:c>
    </x:row>
    <x:row r="11">
      <x:c r="A11" s="8" t="n">
        <x:v>0</x:v>
      </x:c>
      <x:c r="B11" s="8" t="str">
        <x:v>R10</x:v>
      </x:c>
      <x:c r="C11" s="8" t="n">
        <x:v>3.37</x:v>
      </x:c>
      <x:c r="D11" s="8" t="n">
        <x:v>3.855290174484253</x:v>
      </x:c>
      <x:c r="E11" s="10" t="n">
        <x:f>D11-C11</x:f>
        <x:v>0.4852901744842528</x:v>
      </x:c>
      <x:c r="F11" s="8" t="n">
        <x:v>3.29</x:v>
      </x:c>
      <x:c r="G11" s="8" t="n">
        <x:v>3.7618508338928223</x:v>
      </x:c>
      <x:c r="H11" s="10" t="n">
        <x:f>G11-F11</x:f>
        <x:v>0.47185083389282223</x:v>
      </x:c>
      <x:c r="I11" s="8" t="n">
        <x:v>-2.8</x:v>
      </x:c>
      <x:c r="J11" s="8" t="n">
        <x:v>-3.552952766418457</x:v>
      </x:c>
      <x:c r="K11" s="10" t="n">
        <x:f>J11-I11</x:f>
        <x:v>-0.7529527664184572</x:v>
      </x:c>
      <x:c r="L11" s="8" t="n">
        <x:v>-5.296527935588127</x:v>
      </x:c>
      <x:c r="M11" s="10" t="n">
        <x:f>J11-L11</x:f>
        <x:v>1.7435751691696701</x:v>
      </x:c>
      <x:c r="N11" s="8" t="n">
        <x:v>226</x:v>
      </x:c>
      <x:c r="O11" s="8" t="n">
        <x:v>294.56884765625</x:v>
      </x:c>
      <x:c r="P11" s="10" t="n">
        <x:f>O11-N11</x:f>
        <x:v>68.56884765625</x:v>
      </x:c>
      <x:c r="Q11" s="8" t="n">
        <x:v>69.6631851196289</x:v>
      </x:c>
    </x:row>
    <x:row r="12">
      <x:c r="A12" s="8" t="n">
        <x:v>0</x:v>
      </x:c>
      <x:c r="B12" s="8" t="str">
        <x:v>R11</x:v>
      </x:c>
      <x:c r="C12" s="8" t="n">
        <x:v>3.6</x:v>
      </x:c>
      <x:c r="D12" s="8" t="n">
        <x:v>3.886596441268921</x:v>
      </x:c>
      <x:c r="E12" s="10" t="n">
        <x:f>D12-C12</x:f>
        <x:v>0.2865964412689208</x:v>
      </x:c>
      <x:c r="F12" s="8" t="n">
        <x:v>3.25</x:v>
      </x:c>
      <x:c r="G12" s="8" t="n">
        <x:v>3.8143553733825684</x:v>
      </x:c>
      <x:c r="H12" s="10" t="n">
        <x:f>G12-F12</x:f>
        <x:v>0.5643553733825684</x:v>
      </x:c>
      <x:c r="I12" s="8" t="n">
        <x:v>0.2</x:v>
      </x:c>
      <x:c r="J12" s="8" t="n">
        <x:v>-1.3129982948303223</x:v>
      </x:c>
      <x:c r="K12" s="10" t="n">
        <x:f>J12-I12</x:f>
        <x:v>-1.5129982948303222</x:v>
      </x:c>
      <x:c r="L12" s="8" t="n">
        <x:v>-2.998411707502796</x:v>
      </x:c>
      <x:c r="M12" s="10" t="n">
        <x:f>J12-L12</x:f>
        <x:v>1.6854134126724736</x:v>
      </x:c>
      <x:c r="N12" s="8" t="n">
        <x:v>187</x:v>
      </x:c>
      <x:c r="O12" s="8" t="n">
        <x:v>265.1199035644531</x:v>
      </x:c>
      <x:c r="P12" s="10" t="n">
        <x:f>O12-N12</x:f>
        <x:v>78.11990356445312</x:v>
      </x:c>
      <x:c r="Q12" s="8" t="n">
        <x:v>70.82349395751953</x:v>
      </x:c>
    </x:row>
    <x:row r="13">
      <x:c r="A13" s="8" t="n">
        <x:v>0</x:v>
      </x:c>
      <x:c r="B13" s="8" t="str">
        <x:v>R12</x:v>
      </x:c>
      <x:c r="C13" s="8" t="n">
        <x:v>3.61</x:v>
      </x:c>
      <x:c r="D13" s="8" t="n">
        <x:v>3.9709503650665283</x:v>
      </x:c>
      <x:c r="E13" s="10" t="n">
        <x:f>D13-C13</x:f>
        <x:v>0.36095036506652844</x:v>
      </x:c>
      <x:c r="F13" s="8" t="n">
        <x:v>3.3</x:v>
      </x:c>
      <x:c r="G13" s="8" t="n">
        <x:v>3.825064182281494</x:v>
      </x:c>
      <x:c r="H13" s="10" t="n">
        <x:f>G13-F13</x:f>
        <x:v>0.5250641822814943</x:v>
      </x:c>
      <x:c r="I13" s="8" t="n">
        <x:v>0</x:v>
      </x:c>
      <x:c r="J13" s="8" t="n">
        <x:v>-1.3641085624694824</x:v>
      </x:c>
      <x:c r="K13" s="10" t="n">
        <x:f>J13-I13</x:f>
        <x:v>-1.3641085624694824</x:v>
      </x:c>
      <x:c r="L13" s="8" t="n">
        <x:v>-3.301724368055053</x:v>
      </x:c>
      <x:c r="M13" s="10" t="n">
        <x:f>J13-L13</x:f>
        <x:v>1.9376158055855708</x:v>
      </x:c>
      <x:c r="N13" s="8" t="n">
        <x:v>188</x:v>
      </x:c>
      <x:c r="O13" s="8" t="n">
        <x:v>268.2462463378906</x:v>
      </x:c>
      <x:c r="P13" s="10" t="n">
        <x:f>O13-N13</x:f>
        <x:v>80.24624633789062</x:v>
      </x:c>
      <x:c r="Q13" s="8" t="n">
        <x:v>70.63294219970703</x:v>
      </x:c>
    </x:row>
    <x:row r="14">
      <x:c r="A14" s="8" t="n">
        <x:v>0</x:v>
      </x:c>
      <x:c r="B14" s="8" t="str">
        <x:v>R13</x:v>
      </x:c>
      <x:c r="C14" s="8" t="n">
        <x:v>3.56</x:v>
      </x:c>
      <x:c r="D14" s="8" t="n">
        <x:v>3.85774827003479</x:v>
      </x:c>
      <x:c r="E14" s="10" t="n">
        <x:f>D14-C14</x:f>
        <x:v>0.29774827003479</x:v>
      </x:c>
      <x:c r="F14" s="8" t="n">
        <x:v>3.35</x:v>
      </x:c>
      <x:c r="G14" s="8" t="n">
        <x:v>3.8122549057006836</x:v>
      </x:c>
      <x:c r="H14" s="10" t="n">
        <x:f>G14-F14</x:f>
        <x:v>0.4622549057006835</x:v>
      </x:c>
      <x:c r="I14" s="8" t="n">
        <x:v>0</x:v>
      </x:c>
      <x:c r="J14" s="8" t="n">
        <x:v>-1.3873932361602783</x:v>
      </x:c>
      <x:c r="K14" s="10" t="n">
        <x:f>J14-I14</x:f>
        <x:v>-1.3873932361602783</x:v>
      </x:c>
      <x:c r="L14" s="8" t="n">
        <x:v>-3.039587411084235</x:v>
      </x:c>
      <x:c r="M14" s="10" t="n">
        <x:f>J14-L14</x:f>
        <x:v>1.6521941749239568</x:v>
      </x:c>
      <x:c r="N14" s="8" t="n">
        <x:v>189</x:v>
      </x:c>
      <x:c r="O14" s="8" t="n">
        <x:v>265.1317138671875</x:v>
      </x:c>
      <x:c r="P14" s="10" t="n">
        <x:f>O14-N14</x:f>
        <x:v>76.1317138671875</x:v>
      </x:c>
      <x:c r="Q14" s="8" t="n">
        <x:v>70.68972778320312</x:v>
      </x:c>
    </x:row>
    <x:row r="15">
      <x:c r="A15" s="8" t="n">
        <x:v>0</x:v>
      </x:c>
      <x:c r="B15" s="8" t="str">
        <x:v>R14</x:v>
      </x:c>
      <x:c r="C15" s="8" t="n">
        <x:v>3.44</x:v>
      </x:c>
      <x:c r="D15" s="8" t="n">
        <x:v>3.779600143432617</x:v>
      </x:c>
      <x:c r="E15" s="10" t="n">
        <x:f>D15-C15</x:f>
        <x:v>0.33960014343261724</x:v>
      </x:c>
      <x:c r="F15" s="8" t="n">
        <x:v>3.33</x:v>
      </x:c>
      <x:c r="G15" s="8" t="n">
        <x:v>3.8087565898895264</x:v>
      </x:c>
      <x:c r="H15" s="10" t="n">
        <x:f>G15-F15</x:f>
        <x:v>0.4787565898895263</x:v>
      </x:c>
      <x:c r="I15" s="8" t="n">
        <x:v>0.3</x:v>
      </x:c>
      <x:c r="J15" s="8" t="n">
        <x:v>-1.0671992301940918</x:v>
      </x:c>
      <x:c r="K15" s="10" t="n">
        <x:f>J15-I15</x:f>
        <x:v>-1.3671992301940918</x:v>
      </x:c>
      <x:c r="L15" s="8" t="n">
        <x:v>-2.01178477333078</x:v>
      </x:c>
      <x:c r="M15" s="10" t="n">
        <x:f>J15-L15</x:f>
        <x:v>0.9445855431366881</x:v>
      </x:c>
      <x:c r="N15" s="8" t="n">
        <x:v>184</x:v>
      </x:c>
      <x:c r="O15" s="8" t="n">
        <x:v>255.48207092285156</x:v>
      </x:c>
      <x:c r="P15" s="10" t="n">
        <x:f>O15-N15</x:f>
        <x:v>71.48207092285156</x:v>
      </x:c>
      <x:c r="Q15" s="8" t="n">
        <x:v>70.94673919677734</x:v>
      </x:c>
    </x:row>
    <x:row r="16">
      <x:c r="A16" s="8" t="n">
        <x:v>0</x:v>
      </x:c>
      <x:c r="B16" s="8" t="str">
        <x:v>R15</x:v>
      </x:c>
      <x:c r="C16" s="8" t="n">
        <x:v>3.46</x:v>
      </x:c>
      <x:c r="D16" s="8" t="n">
        <x:v>3.7826642990112305</x:v>
      </x:c>
      <x:c r="E16" s="10" t="n">
        <x:f>D16-C16</x:f>
        <x:v>0.3226642990112305</x:v>
      </x:c>
      <x:c r="F16" s="8" t="n">
        <x:v>3.18</x:v>
      </x:c>
      <x:c r="G16" s="8" t="n">
        <x:v>3.779691219329834</x:v>
      </x:c>
      <x:c r="H16" s="10" t="n">
        <x:f>G16-F16</x:f>
        <x:v>0.5996912193298338</x:v>
      </x:c>
      <x:c r="I16" s="8" t="n">
        <x:v>-0.8</x:v>
      </x:c>
      <x:c r="J16" s="8" t="n">
        <x:v>-2.0252461433410645</x:v>
      </x:c>
      <x:c r="K16" s="10" t="n">
        <x:f>J16-I16</x:f>
        <x:v>-1.2252461433410644</x:v>
      </x:c>
      <x:c r="L16" s="8" t="n">
        <x:v>-2.7405598077578723</x:v>
      </x:c>
      <x:c r="M16" s="10" t="n">
        <x:f>J16-L16</x:f>
        <x:v>0.7153136644168079</x:v>
      </x:c>
      <x:c r="N16" s="8" t="n">
        <x:v>203</x:v>
      </x:c>
      <x:c r="O16" s="8" t="n">
        <x:v>273.29156494140625</x:v>
      </x:c>
      <x:c r="P16" s="10" t="n">
        <x:f>O16-N16</x:f>
        <x:v>70.29156494140625</x:v>
      </x:c>
      <x:c r="Q16" s="8" t="n">
        <x:v>70.68745422363281</x:v>
      </x:c>
    </x:row>
    <x:row r="17">
      <x:c r="A17" s="8" t="n">
        <x:v>0</x:v>
      </x:c>
      <x:c r="B17" s="8" t="str">
        <x:v>R16</x:v>
      </x:c>
      <x:c r="C17" s="8" t="n">
        <x:v>3.39</x:v>
      </x:c>
      <x:c r="D17" s="8" t="n">
        <x:v>3.81937837600708</x:v>
      </x:c>
      <x:c r="E17" s="10" t="n">
        <x:f>D17-C17</x:f>
        <x:v>0.42937837600707995</x:v>
      </x:c>
      <x:c r="F17" s="8" t="n">
        <x:v>3.29</x:v>
      </x:c>
      <x:c r="G17" s="8" t="n">
        <x:v>3.881704330444336</x:v>
      </x:c>
      <x:c r="H17" s="10" t="n">
        <x:f>G17-F17</x:f>
        <x:v>0.5917043304443359</x:v>
      </x:c>
      <x:c r="I17" s="8" t="n">
        <x:v>0</x:v>
      </x:c>
      <x:c r="J17" s="8" t="n">
        <x:v>-1.4315354824066162</x:v>
      </x:c>
      <x:c r="K17" s="10" t="n">
        <x:f>J17-I17</x:f>
        <x:v>-1.4315354824066162</x:v>
      </x:c>
      <x:c r="L17" s="8" t="n">
        <x:v>-2.914050248685829</x:v>
      </x:c>
      <x:c r="M17" s="10" t="n">
        <x:f>J17-L17</x:f>
        <x:v>1.4825147662792126</x:v>
      </x:c>
      <x:c r="N17" s="8" t="n">
        <x:v>185</x:v>
      </x:c>
      <x:c r="O17" s="8" t="n">
        <x:v>275.9461669921875</x:v>
      </x:c>
      <x:c r="P17" s="10" t="n">
        <x:f>O17-N17</x:f>
        <x:v>90.9461669921875</x:v>
      </x:c>
      <x:c r="Q17" s="8" t="n">
        <x:v>70.98099517822266</x:v>
      </x:c>
    </x:row>
    <x:row r="18">
      <x:c r="A18" s="8" t="n">
        <x:v>0</x:v>
      </x:c>
      <x:c r="B18" s="8" t="str">
        <x:v>R17</x:v>
      </x:c>
      <x:c r="C18" s="8" t="n">
        <x:v>3.36</x:v>
      </x:c>
      <x:c r="D18" s="8" t="n">
        <x:v>3.9646387100219727</x:v>
      </x:c>
      <x:c r="E18" s="10" t="n">
        <x:f>D18-C18</x:f>
        <x:v>0.6046387100219728</x:v>
      </x:c>
      <x:c r="F18" s="8" t="n">
        <x:v>3.31</x:v>
      </x:c>
      <x:c r="G18" s="8" t="n">
        <x:v>3.915520668029785</x:v>
      </x:c>
      <x:c r="H18" s="10" t="n">
        <x:f>G18-F18</x:f>
        <x:v>0.6055206680297851</x:v>
      </x:c>
      <x:c r="I18" s="8" t="n">
        <x:v>0.5</x:v>
      </x:c>
      <x:c r="J18" s="8" t="n">
        <x:v>-0.9833279252052307</x:v>
      </x:c>
      <x:c r="K18" s="10" t="n">
        <x:f>J18-I18</x:f>
        <x:v>-1.4833279252052307</x:v>
      </x:c>
      <x:c r="L18" s="8" t="n">
        <x:v>-1.9856556115083859</x:v>
      </x:c>
      <x:c r="M18" s="10" t="n">
        <x:f>J18-L18</x:f>
        <x:v>1.0023276863031552</x:v>
      </x:c>
      <x:c r="N18" s="8" t="n">
        <x:v>179</x:v>
      </x:c>
      <x:c r="O18" s="8" t="n">
        <x:v>276.16033935546875</x:v>
      </x:c>
      <x:c r="P18" s="10" t="n">
        <x:f>O18-N18</x:f>
        <x:v>97.16033935546875</x:v>
      </x:c>
      <x:c r="Q18" s="8" t="n">
        <x:v>70.83036804199219</x:v>
      </x:c>
    </x:row>
    <x:row r="19">
      <x:c r="A19" s="8" t="n">
        <x:v>0</x:v>
      </x:c>
      <x:c r="B19" s="8" t="str">
        <x:v>R18</x:v>
      </x:c>
      <x:c r="C19" s="8" t="n">
        <x:v>3.23</x:v>
      </x:c>
      <x:c r="D19" s="8" t="n">
        <x:v>3.8616137504577637</x:v>
      </x:c>
      <x:c r="E19" s="10" t="n">
        <x:f>D19-C19</x:f>
        <x:v>0.6316137504577637</x:v>
      </x:c>
      <x:c r="F19" s="8" t="n">
        <x:v>3.3</x:v>
      </x:c>
      <x:c r="G19" s="8" t="n">
        <x:v>4.016336441040039</x:v>
      </x:c>
      <x:c r="H19" s="10" t="n">
        <x:f>G19-F19</x:f>
        <x:v>0.7163364410400392</x:v>
      </x:c>
      <x:c r="I19" s="8" t="n">
        <x:v>0.5</x:v>
      </x:c>
      <x:c r="J19" s="8" t="n">
        <x:v>-1.0523592233657837</x:v>
      </x:c>
      <x:c r="K19" s="10" t="n">
        <x:f>J19-I19</x:f>
        <x:v>-1.5523592233657837</x:v>
      </x:c>
      <x:c r="L19" s="8" t="n">
        <x:v>-2.258627620081255</x:v>
      </x:c>
      <x:c r="M19" s="10" t="n">
        <x:f>J19-L19</x:f>
        <x:v>1.2062683967154713</x:v>
      </x:c>
      <x:c r="N19" s="8" t="n">
        <x:v>177</x:v>
      </x:c>
      <x:c r="O19" s="8" t="n">
        <x:v>268.6829528808594</x:v>
      </x:c>
      <x:c r="P19" s="10" t="n">
        <x:f>O19-N19</x:f>
        <x:v>91.68295288085938</x:v>
      </x:c>
      <x:c r="Q19" s="8" t="n">
        <x:v>70.86072540283203</x:v>
      </x:c>
    </x:row>
    <x:row r="20">
      <x:c r="A20" s="8" t="n">
        <x:v>0</x:v>
      </x:c>
      <x:c r="B20" s="8" t="str">
        <x:v>R19</x:v>
      </x:c>
      <x:c r="C20" s="8" t="n">
        <x:v>3.33</x:v>
      </x:c>
      <x:c r="D20" s="8" t="n">
        <x:v>3.8777916431427</x:v>
      </x:c>
      <x:c r="E20" s="10" t="n">
        <x:f>D20-C20</x:f>
        <x:v>0.5477916431427001</x:v>
      </x:c>
      <x:c r="F20" s="8" t="n">
        <x:v>3.31</x:v>
      </x:c>
      <x:c r="G20" s="8" t="n">
        <x:v>3.8910200595855713</x:v>
      </x:c>
      <x:c r="H20" s="10" t="n">
        <x:f>G20-F20</x:f>
        <x:v>0.5810200595855712</x:v>
      </x:c>
      <x:c r="I20" s="8" t="n">
        <x:v>0.6</x:v>
      </x:c>
      <x:c r="J20" s="8" t="n">
        <x:v>-1.1717238426208496</x:v>
      </x:c>
      <x:c r="K20" s="10" t="n">
        <x:f>J20-I20</x:f>
        <x:v>-1.7717238426208497</x:v>
      </x:c>
      <x:c r="L20" s="8" t="n">
        <x:v>-1.9398489941075268</x:v>
      </x:c>
      <x:c r="M20" s="10" t="n">
        <x:f>J20-L20</x:f>
        <x:v>0.7681251514866771</x:v>
      </x:c>
      <x:c r="N20" s="8" t="n">
        <x:v>174</x:v>
      </x:c>
      <x:c r="O20" s="8" t="n">
        <x:v>275.3106994628906</x:v>
      </x:c>
      <x:c r="P20" s="10" t="n">
        <x:f>O20-N20</x:f>
        <x:v>101.31069946289062</x:v>
      </x:c>
      <x:c r="Q20" s="8" t="n">
        <x:v>70.99564361572266</x:v>
      </x:c>
    </x:row>
    <x:row r="21">
      <x:c r="A21" s="8" t="n">
        <x:v>0</x:v>
      </x:c>
      <x:c r="B21" s="8" t="str">
        <x:v>R20</x:v>
      </x:c>
      <x:c r="C21" s="8" t="n">
        <x:v>3.44</x:v>
      </x:c>
      <x:c r="D21" s="8" t="n">
        <x:v>3.903208017349243</x:v>
      </x:c>
      <x:c r="E21" s="10" t="n">
        <x:f>D21-C21</x:f>
        <x:v>0.4632080173492432</x:v>
      </x:c>
      <x:c r="F21" s="8" t="n">
        <x:v>3.34</x:v>
      </x:c>
      <x:c r="G21" s="8" t="n">
        <x:v>3.9001059532165527</x:v>
      </x:c>
      <x:c r="H21" s="10" t="n">
        <x:f>G21-F21</x:f>
        <x:v>0.5601059532165529</x:v>
      </x:c>
      <x:c r="I21" s="8" t="n">
        <x:v>0.3</x:v>
      </x:c>
      <x:c r="J21" s="8" t="n">
        <x:v>-1.1452032327651978</x:v>
      </x:c>
      <x:c r="K21" s="10" t="n">
        <x:f>J21-I21</x:f>
        <x:v>-1.4452032327651978</x:v>
      </x:c>
      <x:c r="L21" s="8" t="n">
        <x:v>-1.178195127340029</x:v>
      </x:c>
      <x:c r="M21" s="10" t="n">
        <x:f>J21-L21</x:f>
        <x:v>0.032991894574831315</x:v>
      </x:c>
      <x:c r="N21" s="8" t="n">
        <x:v>181</x:v>
      </x:c>
      <x:c r="O21" s="8" t="n">
        <x:v>273.8051452636719</x:v>
      </x:c>
      <x:c r="P21" s="10" t="n">
        <x:f>O21-N21</x:f>
        <x:v>92.80514526367188</x:v>
      </x:c>
      <x:c r="Q21" s="8" t="n">
        <x:v>70.71439361572266</x:v>
      </x:c>
    </x:row>
    <x:row r="22">
      <x:c r="A22" s="8" t="n">
        <x:v>0</x:v>
      </x:c>
      <x:c r="B22" s="8" t="str">
        <x:v>R21</x:v>
      </x:c>
      <x:c r="C22" s="8" t="n">
        <x:v>3.65</x:v>
      </x:c>
      <x:c r="D22" s="8" t="n">
        <x:v>3.7884790897369385</x:v>
      </x:c>
      <x:c r="E22" s="10" t="n">
        <x:f>D22-C22</x:f>
        <x:v>0.13847908973693857</x:v>
      </x:c>
      <x:c r="F22" s="8" t="n">
        <x:v>3.31</x:v>
      </x:c>
      <x:c r="G22" s="8" t="n">
        <x:v>3.9351463317871094</x:v>
      </x:c>
      <x:c r="H22" s="10" t="n">
        <x:f>G22-F22</x:f>
        <x:v>0.6251463317871093</x:v>
      </x:c>
      <x:c r="I22" s="8" t="n">
        <x:v>0.5</x:v>
      </x:c>
      <x:c r="J22" s="8" t="n">
        <x:v>-1.2648088932037354</x:v>
      </x:c>
      <x:c r="K22" s="10" t="n">
        <x:f>J22-I22</x:f>
        <x:v>-1.7648088932037354</x:v>
      </x:c>
      <x:c r="L22" s="8" t="n">
        <x:v>-1.4630523746128545</x:v>
      </x:c>
      <x:c r="M22" s="10" t="n">
        <x:f>J22-L22</x:f>
        <x:v>0.19824348140911918</x:v>
      </x:c>
      <x:c r="N22" s="8" t="n">
        <x:v>178</x:v>
      </x:c>
      <x:c r="O22" s="8" t="n">
        <x:v>277.094482421875</x:v>
      </x:c>
      <x:c r="P22" s="10" t="n">
        <x:f>O22-N22</x:f>
        <x:v>99.094482421875</x:v>
      </x:c>
      <x:c r="Q22" s="8" t="n">
        <x:v>71.21001434326172</x:v>
      </x:c>
    </x:row>
    <x:row r="23">
      <x:c r="A23" s="8" t="n">
        <x:v>0</x:v>
      </x:c>
      <x:c r="B23" s="8" t="str">
        <x:v>R22</x:v>
      </x:c>
      <x:c r="C23" s="8" t="n">
        <x:v>3.4</x:v>
      </x:c>
      <x:c r="D23" s="8" t="n">
        <x:v>3.692009925842285</x:v>
      </x:c>
      <x:c r="E23" s="10" t="n">
        <x:f>D23-C23</x:f>
        <x:v>0.29200992584228525</x:v>
      </x:c>
      <x:c r="F23" s="8" t="n">
        <x:v>3.32</x:v>
      </x:c>
      <x:c r="G23" s="8" t="n">
        <x:v>3.9192590713500977</x:v>
      </x:c>
      <x:c r="H23" s="10" t="n">
        <x:f>G23-F23</x:f>
        <x:v>0.5992590713500978</x:v>
      </x:c>
      <x:c r="I23" s="8" t="n">
        <x:v>1.1</x:v>
      </x:c>
      <x:c r="J23" s="8" t="n">
        <x:v>-0.9784293174743652</x:v>
      </x:c>
      <x:c r="K23" s="10" t="n">
        <x:f>J23-I23</x:f>
        <x:v>-2.0784293174743653</x:v>
      </x:c>
      <x:c r="L23" s="8" t="n">
        <x:v>-2.4821644731311667</x:v>
      </x:c>
      <x:c r="M23" s="10" t="n">
        <x:f>J23-L23</x:f>
        <x:v>1.5037351556568015</x:v>
      </x:c>
      <x:c r="N23" s="8" t="n">
        <x:v>169</x:v>
      </x:c>
      <x:c r="O23" s="8" t="n">
        <x:v>269.2098083496094</x:v>
      </x:c>
      <x:c r="P23" s="10" t="n">
        <x:f>O23-N23</x:f>
        <x:v>100.20980834960938</x:v>
      </x:c>
      <x:c r="Q23" s="8" t="n">
        <x:v>71.41557312011719</x:v>
      </x:c>
    </x:row>
    <x:row r="24">
      <x:c r="A24" s="8" t="n">
        <x:v>0</x:v>
      </x:c>
      <x:c r="B24" s="8" t="str">
        <x:v>R23</x:v>
      </x:c>
      <x:c r="C24" s="8" t="n">
        <x:v>3.26</x:v>
      </x:c>
      <x:c r="D24" s="8" t="n">
        <x:v>3.695405960083008</x:v>
      </x:c>
      <x:c r="E24" s="10" t="n">
        <x:f>D24-C24</x:f>
        <x:v>0.435405960083008</x:v>
      </x:c>
      <x:c r="F24" s="8" t="n">
        <x:v>3.24</x:v>
      </x:c>
      <x:c r="G24" s="8" t="n">
        <x:v>4.123417377471924</x:v>
      </x:c>
      <x:c r="H24" s="10" t="n">
        <x:f>G24-F24</x:f>
        <x:v>0.8834173774719236</x:v>
      </x:c>
      <x:c r="I24" s="8" t="n">
        <x:v>0.6</x:v>
      </x:c>
      <x:c r="J24" s="8" t="n">
        <x:v>-0.5453116297721863</x:v>
      </x:c>
      <x:c r="K24" s="10" t="n">
        <x:f>J24-I24</x:f>
        <x:v>-1.1453116297721864</x:v>
      </x:c>
      <x:c r="L24" s="8" t="n">
        <x:v>-0.8373218578848524</x:v>
      </x:c>
      <x:c r="M24" s="10" t="n">
        <x:f>J24-L24</x:f>
        <x:v>0.2920102281126661</x:v>
      </x:c>
      <x:c r="N24" s="8" t="n">
        <x:v>169</x:v>
      </x:c>
      <x:c r="O24" s="8" t="n">
        <x:v>263.2882385253906</x:v>
      </x:c>
      <x:c r="P24" s="10" t="n">
        <x:f>O24-N24</x:f>
        <x:v>94.28823852539062</x:v>
      </x:c>
      <x:c r="Q24" s="8" t="n">
        <x:v>71.39360046386719</x:v>
      </x:c>
    </x:row>
    <x:row r="25">
      <x:c r="A25" s="8" t="n">
        <x:v>0</x:v>
      </x:c>
      <x:c r="B25" s="8" t="str">
        <x:v>R24</x:v>
      </x:c>
      <x:c r="C25" s="8" t="n">
        <x:v>2.96</x:v>
      </x:c>
      <x:c r="D25" s="8" t="n">
        <x:v>3.723475933074951</x:v>
      </x:c>
      <x:c r="E25" s="10" t="n">
        <x:f>D25-C25</x:f>
        <x:v>0.7634759330749512</x:v>
      </x:c>
      <x:c r="F25" s="8" t="n">
        <x:v>3.32</x:v>
      </x:c>
      <x:c r="G25" s="8" t="n">
        <x:v>3.943561553955078</x:v>
      </x:c>
      <x:c r="H25" s="10" t="n">
        <x:f>G25-F25</x:f>
        <x:v>0.6235615539550783</x:v>
      </x:c>
      <x:c r="I25" s="8" t="n">
        <x:v>-0.1</x:v>
      </x:c>
      <x:c r="J25" s="8" t="n">
        <x:v>-1.2473983764648438</x:v>
      </x:c>
      <x:c r="K25" s="10" t="n">
        <x:f>J25-I25</x:f>
        <x:v>-1.1473983764648437</x:v>
      </x:c>
      <x:c r="L25" s="8" t="n">
        <x:v>-2.3030119095536765</x:v>
      </x:c>
      <x:c r="M25" s="10" t="n">
        <x:f>J25-L25</x:f>
        <x:v>1.0556135330888328</x:v>
      </x:c>
      <x:c r="N25" s="8" t="n">
        <x:v>173</x:v>
      </x:c>
      <x:c r="O25" s="8" t="n">
        <x:v>272.0873718261719</x:v>
      </x:c>
      <x:c r="P25" s="10" t="n">
        <x:f>O25-N25</x:f>
        <x:v>99.08737182617188</x:v>
      </x:c>
      <x:c r="Q25" s="8" t="n">
        <x:v>71.24740600585938</x:v>
      </x:c>
    </x:row>
    <x:row r="26">
      <x:c r="A26" s="8" t="n">
        <x:v>0</x:v>
      </x:c>
      <x:c r="B26" s="8" t="str">
        <x:v>R25</x:v>
      </x:c>
      <x:c r="C26" s="8" t="n">
        <x:v>3.17</x:v>
      </x:c>
      <x:c r="D26" s="8" t="n">
        <x:v>3.851999044418335</x:v>
      </x:c>
      <x:c r="E26" s="10" t="n">
        <x:f>D26-C26</x:f>
        <x:v>0.681999044418335</x:v>
      </x:c>
      <x:c r="F26" s="8" t="n">
        <x:v>3.35</x:v>
      </x:c>
      <x:c r="G26" s="8" t="n">
        <x:v>3.881747007369995</x:v>
      </x:c>
      <x:c r="H26" s="10" t="n">
        <x:f>G26-F26</x:f>
        <x:v>0.531747007369995</x:v>
      </x:c>
      <x:c r="I26" s="8" t="n">
        <x:v>0.8</x:v>
      </x:c>
      <x:c r="J26" s="8" t="n">
        <x:v>-0.8008330464363098</x:v>
      </x:c>
      <x:c r="K26" s="10" t="n">
        <x:f>J26-I26</x:f>
        <x:v>-1.6008330464363099</x:v>
      </x:c>
      <x:c r="L26" s="8" t="n">
        <x:v>-0.7639738360033204</x:v>
      </x:c>
      <x:c r="M26" s="10" t="n">
        <x:f>J26-L26</x:f>
        <x:v>-0.03685921043298945</x:v>
      </x:c>
      <x:c r="N26" s="8" t="n">
        <x:v>168</x:v>
      </x:c>
      <x:c r="O26" s="8" t="n">
        <x:v>276.1716003417969</x:v>
      </x:c>
      <x:c r="P26" s="10" t="n">
        <x:f>O26-N26</x:f>
        <x:v>108.17160034179688</x:v>
      </x:c>
      <x:c r="Q26" s="8" t="n">
        <x:v>70.97624969482422</x:v>
      </x:c>
    </x:row>
    <x:row r="27">
      <x:c r="A27" s="8" t="n">
        <x:v>-8</x:v>
      </x:c>
      <x:c r="B27" s="8" t="str">
        <x:v>R01</x:v>
      </x:c>
      <x:c r="C27" s="8" t="n">
        <x:v>3.53</x:v>
      </x:c>
      <x:c r="D27" s="8" t="n">
        <x:v>3.7760560512542725</x:v>
      </x:c>
      <x:c r="E27" s="10" t="n">
        <x:f>D27-C27</x:f>
        <x:v>0.24605605125427266</x:v>
      </x:c>
      <x:c r="F27" s="8" t="n">
        <x:v>3.37</x:v>
      </x:c>
      <x:c r="G27" s="8" t="n">
        <x:v>3.7537589073181152</x:v>
      </x:c>
      <x:c r="H27" s="10" t="n">
        <x:f>G27-F27</x:f>
        <x:v>0.38375890731811513</x:v>
      </x:c>
      <x:c r="I27" s="8" t="n">
        <x:v>-1.9</x:v>
      </x:c>
      <x:c r="J27" s="8" t="n">
        <x:v>-3.8196136951446533</x:v>
      </x:c>
      <x:c r="K27" s="10" t="n">
        <x:f>J27-I27</x:f>
        <x:v>-1.9196136951446534</x:v>
      </x:c>
      <x:c r="L27" s="8" t="n">
        <x:v>-5.774090303045548</x:v>
      </x:c>
      <x:c r="M27" s="10" t="n">
        <x:f>J27-L27</x:f>
        <x:v>1.9544766079008946</x:v>
      </x:c>
      <x:c r="N27" s="8" t="n">
        <x:v>212</x:v>
      </x:c>
      <x:c r="O27" s="8" t="n">
        <x:v>272.5648498535156</x:v>
      </x:c>
      <x:c r="P27" s="10" t="n">
        <x:f>O27-N27</x:f>
        <x:v>60.564849853515625</x:v>
      </x:c>
      <x:c r="Q27" s="8" t="n">
        <x:v>69.88648223876953</x:v>
      </x:c>
    </x:row>
    <x:row r="28">
      <x:c r="A28" s="8" t="n">
        <x:v>-8</x:v>
      </x:c>
      <x:c r="B28" s="8" t="str">
        <x:v>R02</x:v>
      </x:c>
      <x:c r="C28" s="8" t="n">
        <x:v>3.56</x:v>
      </x:c>
      <x:c r="D28" s="8" t="n">
        <x:v>3.6655826568603516</x:v>
      </x:c>
      <x:c r="E28" s="10" t="n">
        <x:f>D28-C28</x:f>
        <x:v>0.10558265686035151</x:v>
      </x:c>
      <x:c r="F28" s="8" t="n">
        <x:v>3.38</x:v>
      </x:c>
      <x:c r="G28" s="8" t="n">
        <x:v>3.7895240783691406</x:v>
      </x:c>
      <x:c r="H28" s="10" t="n">
        <x:f>G28-F28</x:f>
        <x:v>0.40952407836914073</x:v>
      </x:c>
      <x:c r="I28" s="8" t="n">
        <x:v>-2.8</x:v>
      </x:c>
      <x:c r="J28" s="8" t="n">
        <x:v>-5.688571929931641</x:v>
      </x:c>
      <x:c r="K28" s="10" t="n">
        <x:f>J28-I28</x:f>
        <x:v>-2.888571929931641</x:v>
      </x:c>
      <x:c r="L28" s="8" t="n">
        <x:v>-6.784424808852974</x:v>
      </x:c>
      <x:c r="M28" s="10" t="n">
        <x:f>J28-L28</x:f>
        <x:v>1.0958528789213338</x:v>
      </x:c>
      <x:c r="N28" s="8" t="n">
        <x:v>223</x:v>
      </x:c>
      <x:c r="O28" s="8" t="n">
        <x:v>279.24017333984375</x:v>
      </x:c>
      <x:c r="P28" s="10" t="n">
        <x:f>O28-N28</x:f>
        <x:v>56.24017333984375</x:v>
      </x:c>
      <x:c r="Q28" s="8" t="n">
        <x:v>69.95682525634766</x:v>
      </x:c>
    </x:row>
    <x:row r="29">
      <x:c r="A29" s="8" t="n">
        <x:v>-8</x:v>
      </x:c>
      <x:c r="B29" s="8" t="str">
        <x:v>R03</x:v>
      </x:c>
      <x:c r="C29" s="8" t="n">
        <x:v>3.48</x:v>
      </x:c>
      <x:c r="D29" s="8" t="n">
        <x:v>3.9264330863952637</x:v>
      </x:c>
      <x:c r="E29" s="10" t="n">
        <x:f>D29-C29</x:f>
        <x:v>0.4464330863952637</x:v>
      </x:c>
      <x:c r="F29" s="8" t="n">
        <x:v>3.37</x:v>
      </x:c>
      <x:c r="G29" s="8" t="n">
        <x:v>3.7716948986053467</x:v>
      </x:c>
      <x:c r="H29" s="10" t="n">
        <x:f>G29-F29</x:f>
        <x:v>0.4016948986053466</x:v>
      </x:c>
      <x:c r="I29" s="8" t="n">
        <x:v>-3.5</x:v>
      </x:c>
      <x:c r="J29" s="8" t="n">
        <x:v>-5.457300186157227</x:v>
      </x:c>
      <x:c r="K29" s="10" t="n">
        <x:f>J29-I29</x:f>
        <x:v>-1.9573001861572266</x:v>
      </x:c>
      <x:c r="L29" s="8" t="n">
        <x:v>-7.15811654034109</x:v>
      </x:c>
      <x:c r="M29" s="10" t="n">
        <x:f>J29-L29</x:f>
        <x:v>1.7008163541838632</x:v>
      </x:c>
      <x:c r="N29" s="8" t="n">
        <x:v>228</x:v>
      </x:c>
      <x:c r="O29" s="8" t="n">
        <x:v>296.247802734375</x:v>
      </x:c>
      <x:c r="P29" s="10" t="n">
        <x:f>O29-N29</x:f>
        <x:v>68.247802734375</x:v>
      </x:c>
      <x:c r="Q29" s="8" t="n">
        <x:v>69.46833038330078</x:v>
      </x:c>
    </x:row>
    <x:row r="30">
      <x:c r="A30" s="8" t="n">
        <x:v>-8</x:v>
      </x:c>
      <x:c r="B30" s="8" t="str">
        <x:v>R04</x:v>
      </x:c>
      <x:c r="C30" s="8" t="n">
        <x:v>3.35</x:v>
      </x:c>
      <x:c r="D30" s="8" t="n">
        <x:v>3.8260092735290527</x:v>
      </x:c>
      <x:c r="E30" s="10" t="n">
        <x:f>D30-C30</x:f>
        <x:v>0.47600927352905265</x:v>
      </x:c>
      <x:c r="F30" s="8" t="n">
        <x:v>3.37</x:v>
      </x:c>
      <x:c r="G30" s="8" t="n">
        <x:v>3.7736170291900635</x:v>
      </x:c>
      <x:c r="H30" s="10" t="n">
        <x:f>G30-F30</x:f>
        <x:v>0.40361702919006337</x:v>
      </x:c>
      <x:c r="I30" s="8" t="n">
        <x:v>-2.7</x:v>
      </x:c>
      <x:c r="J30" s="8" t="n">
        <x:v>-3.9198899269104004</x:v>
      </x:c>
      <x:c r="K30" s="10" t="n">
        <x:f>J30-I30</x:f>
        <x:v>-1.2198899269104002</x:v>
      </x:c>
      <x:c r="L30" s="8" t="n">
        <x:v>-5.645297030808888</x:v>
      </x:c>
      <x:c r="M30" s="10" t="n">
        <x:f>J30-L30</x:f>
        <x:v>1.7254071038984877</x:v>
      </x:c>
      <x:c r="N30" s="8" t="n">
        <x:v>208</x:v>
      </x:c>
      <x:c r="O30" s="8" t="n">
        <x:v>272.1327819824219</x:v>
      </x:c>
      <x:c r="P30" s="10" t="n">
        <x:f>O30-N30</x:f>
        <x:v>64.13278198242188</x:v>
      </x:c>
      <x:c r="Q30" s="8" t="n">
        <x:v>69.99577331542969</x:v>
      </x:c>
    </x:row>
    <x:row r="31">
      <x:c r="A31" s="8" t="n">
        <x:v>-8</x:v>
      </x:c>
      <x:c r="B31" s="8" t="str">
        <x:v>R05</x:v>
      </x:c>
      <x:c r="C31" s="8" t="n">
        <x:v>3.7</x:v>
      </x:c>
      <x:c r="D31" s="8" t="n">
        <x:v>3.5918192863464355</x:v>
      </x:c>
      <x:c r="E31" s="10" t="n">
        <x:f>D31-C31</x:f>
        <x:v>-0.10818071365356463</x:v>
      </x:c>
      <x:c r="F31" s="8" t="n">
        <x:v>3.19</x:v>
      </x:c>
      <x:c r="G31" s="8" t="n">
        <x:v>3.7842907905578613</x:v>
      </x:c>
      <x:c r="H31" s="10" t="n">
        <x:f>G31-F31</x:f>
        <x:v>0.5942907905578614</x:v>
      </x:c>
      <x:c r="I31" s="8" t="n">
        <x:v>-2.1</x:v>
      </x:c>
      <x:c r="J31" s="8" t="n">
        <x:v>-3.581019878387451</x:v>
      </x:c>
      <x:c r="K31" s="10" t="n">
        <x:f>J31-I31</x:f>
        <x:v>-1.481019878387451</x:v>
      </x:c>
      <x:c r="L31" s="8" t="n">
        <x:v>-4.755136074056737</x:v>
      </x:c>
      <x:c r="M31" s="10" t="n">
        <x:f>J31-L31</x:f>
        <x:v>1.1741161956692858</x:v>
      </x:c>
      <x:c r="N31" s="8" t="n">
        <x:v>221</x:v>
      </x:c>
      <x:c r="O31" s="8" t="n">
        <x:v>268.81866455078125</x:v>
      </x:c>
      <x:c r="P31" s="10" t="n">
        <x:f>O31-N31</x:f>
        <x:v>47.81866455078125</x:v>
      </x:c>
      <x:c r="Q31" s="8" t="n">
        <x:v>70.08241271972656</x:v>
      </x:c>
    </x:row>
    <x:row r="32">
      <x:c r="A32" s="8" t="n">
        <x:v>-8</x:v>
      </x:c>
      <x:c r="B32" s="8" t="str">
        <x:v>R06</x:v>
      </x:c>
      <x:c r="C32" s="8" t="n">
        <x:v>3.26</x:v>
      </x:c>
      <x:c r="D32" s="8" t="n">
        <x:v>3.59053111076355</x:v>
      </x:c>
      <x:c r="E32" s="10" t="n">
        <x:f>D32-C32</x:f>
        <x:v>0.33053111076355</x:v>
      </x:c>
      <x:c r="F32" s="8" t="n">
        <x:v>3.33</x:v>
      </x:c>
      <x:c r="G32" s="8" t="n">
        <x:v>3.7807412147521973</x:v>
      </x:c>
      <x:c r="H32" s="10" t="n">
        <x:f>G32-F32</x:f>
        <x:v>0.4507412147521972</x:v>
      </x:c>
      <x:c r="I32" s="8" t="n">
        <x:v>0.1</x:v>
      </x:c>
      <x:c r="J32" s="8" t="n">
        <x:v>-1.259369134902954</x:v>
      </x:c>
      <x:c r="K32" s="10" t="n">
        <x:f>J32-I32</x:f>
        <x:v>-1.3593691349029542</x:v>
      </x:c>
      <x:c r="L32" s="8" t="n">
        <x:v>-2.372611681259438</x:v>
      </x:c>
      <x:c r="M32" s="10" t="n">
        <x:f>J32-L32</x:f>
        <x:v>1.1132425463564841</x:v>
      </x:c>
      <x:c r="N32" s="8" t="n">
        <x:v>171</x:v>
      </x:c>
      <x:c r="O32" s="8" t="n">
        <x:v>234.37648010253906</x:v>
      </x:c>
      <x:c r="P32" s="10" t="n">
        <x:f>O32-N32</x:f>
        <x:v>63.37648010253906</x:v>
      </x:c>
      <x:c r="Q32" s="8" t="n">
        <x:v>70.84375</x:v>
      </x:c>
    </x:row>
    <x:row r="33">
      <x:c r="A33" s="8" t="n">
        <x:v>-8</x:v>
      </x:c>
      <x:c r="B33" s="8" t="str">
        <x:v>R07</x:v>
      </x:c>
      <x:c r="C33" s="8" t="n">
        <x:v>3.43</x:v>
      </x:c>
      <x:c r="D33" s="8" t="n">
        <x:v>3.7082996368408203</x:v>
      </x:c>
      <x:c r="E33" s="10" t="n">
        <x:f>D33-C33</x:f>
        <x:v>0.27829963684082015</x:v>
      </x:c>
      <x:c r="F33" s="8" t="n">
        <x:v>3.35</x:v>
      </x:c>
      <x:c r="G33" s="8" t="n">
        <x:v>3.7834978103637695</x:v>
      </x:c>
      <x:c r="H33" s="10" t="n">
        <x:f>G33-F33</x:f>
        <x:v>0.43349781036376944</x:v>
      </x:c>
      <x:c r="I33" s="8" t="n">
        <x:v>0.5</x:v>
      </x:c>
      <x:c r="J33" s="8" t="n">
        <x:v>-0.5095223784446716</x:v>
      </x:c>
      <x:c r="K33" s="10" t="n">
        <x:f>J33-I33</x:f>
        <x:v>-1.0095223784446716</x:v>
      </x:c>
      <x:c r="L33" s="8" t="n">
        <x:v>-2.0704306132962422</x:v>
      </x:c>
      <x:c r="M33" s="10" t="n">
        <x:f>J33-L33</x:f>
        <x:v>1.5609082348515706</x:v>
      </x:c>
      <x:c r="N33" s="8" t="n">
        <x:v>167</x:v>
      </x:c>
      <x:c r="O33" s="8" t="n">
        <x:v>221.19381713867188</x:v>
      </x:c>
      <x:c r="P33" s="10" t="n">
        <x:f>O33-N33</x:f>
        <x:v>54.193817138671875</x:v>
      </x:c>
      <x:c r="Q33" s="8" t="n">
        <x:v>70.97575378417969</x:v>
      </x:c>
    </x:row>
    <x:row r="34">
      <x:c r="A34" s="8" t="n">
        <x:v>-8</x:v>
      </x:c>
      <x:c r="B34" s="8" t="str">
        <x:v>R08</x:v>
      </x:c>
      <x:c r="C34" s="8" t="n">
        <x:v>3.32</x:v>
      </x:c>
      <x:c r="D34" s="8" t="n">
        <x:v>3.5892059803009033</x:v>
      </x:c>
      <x:c r="E34" s="10" t="n">
        <x:f>D34-C34</x:f>
        <x:v>0.2692059803009035</x:v>
      </x:c>
      <x:c r="F34" s="8" t="n">
        <x:v>3.33</x:v>
      </x:c>
      <x:c r="G34" s="8" t="n">
        <x:v>3.7715036869049072</x:v>
      </x:c>
      <x:c r="H34" s="10" t="n">
        <x:f>G34-F34</x:f>
        <x:v>0.44150368690490716</x:v>
      </x:c>
      <x:c r="I34" s="8" t="n">
        <x:v>0.6</x:v>
      </x:c>
      <x:c r="J34" s="8" t="n">
        <x:v>-0.33188876509666443</x:v>
      </x:c>
      <x:c r="K34" s="10" t="n">
        <x:f>J34-I34</x:f>
        <x:v>-0.9318887650966644</x:v>
      </x:c>
      <x:c r="L34" s="8" t="n">
        <x:v>-2.704353799642844</x:v>
      </x:c>
      <x:c r="M34" s="10" t="n">
        <x:f>J34-L34</x:f>
        <x:v>2.3724650345461797</x:v>
      </x:c>
      <x:c r="N34" s="8" t="n">
        <x:v>160</x:v>
      </x:c>
      <x:c r="O34" s="8" t="n">
        <x:v>214.3182373046875</x:v>
      </x:c>
      <x:c r="P34" s="10" t="n">
        <x:f>O34-N34</x:f>
        <x:v>54.3182373046875</x:v>
      </x:c>
      <x:c r="Q34" s="8" t="n">
        <x:v>71.22506713867188</x:v>
      </x:c>
    </x:row>
    <x:row r="35">
      <x:c r="A35" s="8" t="n">
        <x:v>-8</x:v>
      </x:c>
      <x:c r="B35" s="8" t="str">
        <x:v>R09</x:v>
      </x:c>
      <x:c r="C35" s="8" t="n">
        <x:v>3.45</x:v>
      </x:c>
      <x:c r="D35" s="8" t="n">
        <x:v>3.6128673553466797</x:v>
      </x:c>
      <x:c r="E35" s="10" t="n">
        <x:f>D35-C35</x:f>
        <x:v>0.1628673553466795</x:v>
      </x:c>
      <x:c r="F35" s="8" t="n">
        <x:v>3.36</x:v>
      </x:c>
      <x:c r="G35" s="8" t="n">
        <x:v>3.810415506362915</x:v>
      </x:c>
      <x:c r="H35" s="10" t="n">
        <x:f>G35-F35</x:f>
        <x:v>0.45041550636291516</x:v>
      </x:c>
      <x:c r="I35" s="8" t="n">
        <x:v>0.6</x:v>
      </x:c>
      <x:c r="J35" s="8" t="n">
        <x:v>-0.8281029462814331</x:v>
      </x:c>
      <x:c r="K35" s="10" t="n">
        <x:f>J35-I35</x:f>
        <x:v>-1.4281029462814332</x:v>
      </x:c>
      <x:c r="L35" s="8" t="n">
        <x:v>-3.077206209247702</x:v>
      </x:c>
      <x:c r="M35" s="10" t="n">
        <x:f>J35-L35</x:f>
        <x:v>2.249103262966269</x:v>
      </x:c>
      <x:c r="N35" s="8" t="n">
        <x:v>164</x:v>
      </x:c>
      <x:c r="O35" s="8" t="n">
        <x:v>229.62559509277344</x:v>
      </x:c>
      <x:c r="P35" s="10" t="n">
        <x:f>O35-N35</x:f>
        <x:v>65.62559509277344</x:v>
      </x:c>
      <x:c r="Q35" s="8" t="n">
        <x:v>70.92289733886719</x:v>
      </x:c>
    </x:row>
    <x:row r="36">
      <x:c r="A36" s="8" t="n">
        <x:v>-8</x:v>
      </x:c>
      <x:c r="B36" s="8" t="str">
        <x:v>R10</x:v>
      </x:c>
      <x:c r="C36" s="8" t="n">
        <x:v>3.3</x:v>
      </x:c>
      <x:c r="D36" s="8" t="n">
        <x:v>3.6972739696502686</x:v>
      </x:c>
      <x:c r="E36" s="10" t="n">
        <x:f>D36-C36</x:f>
        <x:v>0.39727396965026873</x:v>
      </x:c>
      <x:c r="F36" s="8" t="n">
        <x:v>3.32</x:v>
      </x:c>
      <x:c r="G36" s="8" t="n">
        <x:v>3.7409448623657227</x:v>
      </x:c>
      <x:c r="H36" s="10" t="n">
        <x:f>G36-F36</x:f>
        <x:v>0.4209448623657228</x:v>
      </x:c>
      <x:c r="I36" s="8" t="n">
        <x:v>-1.3</x:v>
      </x:c>
      <x:c r="J36" s="8" t="n">
        <x:v>-1.7416201829910278</x:v>
      </x:c>
      <x:c r="K36" s="10" t="n">
        <x:f>J36-I36</x:f>
        <x:v>-0.4416201829910278</x:v>
      </x:c>
      <x:c r="L36" s="8" t="n">
        <x:v>-3.9951814014665183</x:v>
      </x:c>
      <x:c r="M36" s="10" t="n">
        <x:f>J36-L36</x:f>
        <x:v>2.2535612184754905</x:v>
      </x:c>
      <x:c r="N36" s="8" t="n">
        <x:v>195</x:v>
      </x:c>
      <x:c r="O36" s="8" t="n">
        <x:v>255.43228149414062</x:v>
      </x:c>
      <x:c r="P36" s="10" t="n">
        <x:f>O36-N36</x:f>
        <x:v>60.432281494140625</x:v>
      </x:c>
      <x:c r="Q36" s="8" t="n">
        <x:v>70.34720611572266</x:v>
      </x:c>
    </x:row>
    <x:row r="37">
      <x:c r="A37" s="8" t="n">
        <x:v>-8</x:v>
      </x:c>
      <x:c r="B37" s="8" t="str">
        <x:v>R11</x:v>
      </x:c>
      <x:c r="C37" s="8" t="n">
        <x:v>3.56</x:v>
      </x:c>
      <x:c r="D37" s="8" t="n">
        <x:v>3.70805025100708</x:v>
      </x:c>
      <x:c r="E37" s="10" t="n">
        <x:f>D37-C37</x:f>
        <x:v>0.14805025100708002</x:v>
      </x:c>
      <x:c r="F37" s="8" t="n">
        <x:v>3.24</x:v>
      </x:c>
      <x:c r="G37" s="8" t="n">
        <x:v>3.766221046447754</x:v>
      </x:c>
      <x:c r="H37" s="10" t="n">
        <x:f>G37-F37</x:f>
        <x:v>0.5262210464477537</x:v>
      </x:c>
      <x:c r="I37" s="8" t="n">
        <x:v>1.2</x:v>
      </x:c>
      <x:c r="J37" s="8" t="n">
        <x:v>-0.3716680109500885</x:v>
      </x:c>
      <x:c r="K37" s="10" t="n">
        <x:f>J37-I37</x:f>
        <x:v>-1.5716680109500885</x:v>
      </x:c>
      <x:c r="L37" s="8" t="n">
        <x:v>-1.7248535871001922</x:v>
      </x:c>
      <x:c r="M37" s="10" t="n">
        <x:f>J37-L37</x:f>
        <x:v>1.3531855761501037</x:v>
      </x:c>
      <x:c r="N37" s="8" t="n">
        <x:v>164</x:v>
      </x:c>
      <x:c r="O37" s="8" t="n">
        <x:v>237.2305908203125</x:v>
      </x:c>
      <x:c r="P37" s="10" t="n">
        <x:f>O37-N37</x:f>
        <x:v>73.2305908203125</x:v>
      </x:c>
      <x:c r="Q37" s="8" t="n">
        <x:v>71.18240356445312</x:v>
      </x:c>
    </x:row>
    <x:row r="38">
      <x:c r="A38" s="8" t="n">
        <x:v>-8</x:v>
      </x:c>
      <x:c r="B38" s="8" t="str">
        <x:v>R12</x:v>
      </x:c>
      <x:c r="C38" s="8" t="n">
        <x:v>3.54</x:v>
      </x:c>
      <x:c r="D38" s="8" t="n">
        <x:v>3.7078535556793213</x:v>
      </x:c>
      <x:c r="E38" s="10" t="n">
        <x:f>D38-C38</x:f>
        <x:v>0.16785355567932125</x:v>
      </x:c>
      <x:c r="F38" s="8" t="n">
        <x:v>3.34</x:v>
      </x:c>
      <x:c r="G38" s="8" t="n">
        <x:v>3.7776529788970947</x:v>
      </x:c>
      <x:c r="H38" s="10" t="n">
        <x:f>G38-F38</x:f>
        <x:v>0.43765297889709487</x:v>
      </x:c>
      <x:c r="I38" s="8" t="n">
        <x:v>1.4</x:v>
      </x:c>
      <x:c r="J38" s="8" t="n">
        <x:v>0.15381598472595215</x:v>
      </x:c>
      <x:c r="K38" s="10" t="n">
        <x:f>J38-I38</x:f>
        <x:v>-1.2461840152740478</x:v>
      </x:c>
      <x:c r="L38" s="8" t="n">
        <x:v>-2.1197315127082152</x:v>
      </x:c>
      <x:c r="M38" s="10" t="n">
        <x:f>J38-L38</x:f>
        <x:v>2.2735474974341674</x:v>
      </x:c>
      <x:c r="N38" s="8" t="n">
        <x:v>158</x:v>
      </x:c>
      <x:c r="O38" s="8" t="n">
        <x:v>230.3389892578125</x:v>
      </x:c>
      <x:c r="P38" s="10" t="n">
        <x:f>O38-N38</x:f>
        <x:v>72.3389892578125</x:v>
      </x:c>
      <x:c r="Q38" s="8" t="n">
        <x:v>71.28986358642578</x:v>
      </x:c>
    </x:row>
    <x:row r="39">
      <x:c r="A39" s="8" t="n">
        <x:v>-8</x:v>
      </x:c>
      <x:c r="B39" s="8" t="str">
        <x:v>R13</x:v>
      </x:c>
      <x:c r="C39" s="8" t="n">
        <x:v>3.47</x:v>
      </x:c>
      <x:c r="D39" s="8" t="n">
        <x:v>3.7249879837036133</x:v>
      </x:c>
      <x:c r="E39" s="10" t="n">
        <x:f>D39-C39</x:f>
        <x:v>0.2549879837036131</x:v>
      </x:c>
      <x:c r="F39" s="8" t="n">
        <x:v>3.39</x:v>
      </x:c>
      <x:c r="G39" s="8" t="n">
        <x:v>3.7878081798553467</x:v>
      </x:c>
      <x:c r="H39" s="10" t="n">
        <x:f>G39-F39</x:f>
        <x:v>0.39780817985534656</x:v>
      </x:c>
      <x:c r="I39" s="8" t="n">
        <x:v>1.6</x:v>
      </x:c>
      <x:c r="J39" s="8" t="n">
        <x:v>0.12758290767669678</x:v>
      </x:c>
      <x:c r="K39" s="10" t="n">
        <x:f>J39-I39</x:f>
        <x:v>-1.4724170923233033</x:v>
      </x:c>
      <x:c r="L39" s="8" t="n">
        <x:v>-1.7139137332285683</x:v>
      </x:c>
      <x:c r="M39" s="10" t="n">
        <x:f>J39-L39</x:f>
        <x:v>1.841496640905265</x:v>
      </x:c>
      <x:c r="N39" s="8" t="n">
        <x:v>156</x:v>
      </x:c>
      <x:c r="O39" s="8" t="n">
        <x:v>229.7139892578125</x:v>
      </x:c>
      <x:c r="P39" s="10" t="n">
        <x:f>O39-N39</x:f>
        <x:v>73.7139892578125</x:v>
      </x:c>
      <x:c r="Q39" s="8" t="n">
        <x:v>71.30692291259766</x:v>
      </x:c>
    </x:row>
    <x:row r="40">
      <x:c r="A40" s="8" t="n">
        <x:v>-8</x:v>
      </x:c>
      <x:c r="B40" s="8" t="str">
        <x:v>R14</x:v>
      </x:c>
      <x:c r="C40" s="8" t="n">
        <x:v>3.38</x:v>
      </x:c>
      <x:c r="D40" s="8" t="n">
        <x:v>3.6452462673187256</x:v>
      </x:c>
      <x:c r="E40" s="10" t="n">
        <x:f>D40-C40</x:f>
        <x:v>0.2652462673187257</x:v>
      </x:c>
      <x:c r="F40" s="8" t="n">
        <x:v>3.35</x:v>
      </x:c>
      <x:c r="G40" s="8" t="n">
        <x:v>3.762901544570923</x:v>
      </x:c>
      <x:c r="H40" s="10" t="n">
        <x:f>G40-F40</x:f>
        <x:v>0.41290154457092276</x:v>
      </x:c>
      <x:c r="I40" s="8" t="n">
        <x:v>1.5</x:v>
      </x:c>
      <x:c r="J40" s="8" t="n">
        <x:v>-0.2316773682832718</x:v>
      </x:c>
      <x:c r="K40" s="10" t="n">
        <x:f>J40-I40</x:f>
        <x:v>-1.7316773682832718</x:v>
      </x:c>
      <x:c r="L40" s="8" t="n">
        <x:v>-1.3148660681366184</x:v>
      </x:c>
      <x:c r="M40" s="10" t="n">
        <x:f>J40-L40</x:f>
        <x:v>1.0831886998533466</x:v>
      </x:c>
      <x:c r="N40" s="8" t="n">
        <x:v>158</x:v>
      </x:c>
      <x:c r="O40" s="8" t="n">
        <x:v>233.8705291748047</x:v>
      </x:c>
      <x:c r="P40" s="10" t="n">
        <x:f>O40-N40</x:f>
        <x:v>75.87052917480469</x:v>
      </x:c>
      <x:c r="Q40" s="8" t="n">
        <x:v>71.37312316894531</x:v>
      </x:c>
    </x:row>
    <x:row r="41">
      <x:c r="A41" s="8" t="n">
        <x:v>-8</x:v>
      </x:c>
      <x:c r="B41" s="8" t="str">
        <x:v>R15</x:v>
      </x:c>
      <x:c r="C41" s="8" t="n">
        <x:v>3.42</x:v>
      </x:c>
      <x:c r="D41" s="8" t="n">
        <x:v>3.661100149154663</x:v>
      </x:c>
      <x:c r="E41" s="10" t="n">
        <x:f>D41-C41</x:f>
        <x:v>0.24110014915466316</x:v>
      </x:c>
      <x:c r="F41" s="8" t="n">
        <x:v>3.21</x:v>
      </x:c>
      <x:c r="G41" s="8" t="n">
        <x:v>3.7774643898010254</x:v>
      </x:c>
      <x:c r="H41" s="10" t="n">
        <x:f>G41-F41</x:f>
        <x:v>0.5674643898010254</x:v>
      </x:c>
      <x:c r="I41" s="8" t="n">
        <x:v>0.2</x:v>
      </x:c>
      <x:c r="J41" s="8" t="n">
        <x:v>-1.003124475479126</x:v>
      </x:c>
      <x:c r="K41" s="10" t="n">
        <x:f>J41-I41</x:f>
        <x:v>-1.203124475479126</x:v>
      </x:c>
      <x:c r="L41" s="8" t="n">
        <x:v>-1.732405789676073</x:v>
      </x:c>
      <x:c r="M41" s="10" t="n">
        <x:f>J41-L41</x:f>
        <x:v>0.729281314196947</x:v>
      </x:c>
      <x:c r="N41" s="8" t="n">
        <x:v>178</x:v>
      </x:c>
      <x:c r="O41" s="8" t="n">
        <x:v>249.9387664794922</x:v>
      </x:c>
      <x:c r="P41" s="10" t="n">
        <x:f>O41-N41</x:f>
        <x:v>71.93876647949219</x:v>
      </x:c>
      <x:c r="Q41" s="8" t="n">
        <x:v>70.88267517089844</x:v>
      </x:c>
    </x:row>
    <x:row r="42">
      <x:c r="A42" s="8" t="n">
        <x:v>-8</x:v>
      </x:c>
      <x:c r="B42" s="8" t="str">
        <x:v>R16</x:v>
      </x:c>
      <x:c r="C42" s="8" t="n">
        <x:v>3.39</x:v>
      </x:c>
      <x:c r="D42" s="8" t="n">
        <x:v>3.6685874462127686</x:v>
      </x:c>
      <x:c r="E42" s="10" t="n">
        <x:f>D42-C42</x:f>
        <x:v>0.27858744621276843</x:v>
      </x:c>
      <x:c r="F42" s="8" t="n">
        <x:v>3.27</x:v>
      </x:c>
      <x:c r="G42" s="8" t="n">
        <x:v>3.8181469440460205</x:v>
      </x:c>
      <x:c r="H42" s="10" t="n">
        <x:f>G42-F42</x:f>
        <x:v>0.5481469440460205</x:v>
      </x:c>
      <x:c r="I42" s="8" t="n">
        <x:v>0.7</x:v>
      </x:c>
      <x:c r="J42" s="8" t="n">
        <x:v>-0.685152530670166</x:v>
      </x:c>
      <x:c r="K42" s="10" t="n">
        <x:f>J42-I42</x:f>
        <x:v>-1.385152530670166</x:v>
      </x:c>
      <x:c r="L42" s="8" t="n">
        <x:v>-2.0502873382448863</x:v>
      </x:c>
      <x:c r="M42" s="10" t="n">
        <x:f>J42-L42</x:f>
        <x:v>1.3651348075747203</x:v>
      </x:c>
      <x:c r="N42" s="8" t="n">
        <x:v>172</x:v>
      </x:c>
      <x:c r="O42" s="8" t="n">
        <x:v>256.0774841308594</x:v>
      </x:c>
      <x:c r="P42" s="10" t="n">
        <x:f>O42-N42</x:f>
        <x:v>84.07748413085938</x:v>
      </x:c>
      <x:c r="Q42" s="8" t="n">
        <x:v>71.13812255859375</x:v>
      </x:c>
    </x:row>
    <x:row r="43">
      <x:c r="A43" s="8" t="n">
        <x:v>-8</x:v>
      </x:c>
      <x:c r="B43" s="8" t="str">
        <x:v>R17</x:v>
      </x:c>
      <x:c r="C43" s="8" t="n">
        <x:v>3.35</x:v>
      </x:c>
      <x:c r="D43" s="8" t="n">
        <x:v>3.8062758445739746</x:v>
      </x:c>
      <x:c r="E43" s="10" t="n">
        <x:f>D43-C43</x:f>
        <x:v>0.4562758445739745</x:v>
      </x:c>
      <x:c r="F43" s="8" t="n">
        <x:v>3.32</x:v>
      </x:c>
      <x:c r="G43" s="8" t="n">
        <x:v>3.8805344104766846</x:v>
      </x:c>
      <x:c r="H43" s="10" t="n">
        <x:f>G43-F43</x:f>
        <x:v>0.5605344104766847</x:v>
      </x:c>
      <x:c r="I43" s="8" t="n">
        <x:v>1.3</x:v>
      </x:c>
      <x:c r="J43" s="8" t="n">
        <x:v>-0.21460804343223572</x:v>
      </x:c>
      <x:c r="K43" s="10" t="n">
        <x:f>J43-I43</x:f>
        <x:v>-1.5146080434322358</x:v>
      </x:c>
      <x:c r="L43" s="8" t="n">
        <x:v>-1.055281833806704</x:v>
      </x:c>
      <x:c r="M43" s="10" t="n">
        <x:f>J43-L43</x:f>
        <x:v>0.8406737903744683</x:v>
      </x:c>
      <x:c r="N43" s="8" t="n">
        <x:v>163</x:v>
      </x:c>
      <x:c r="O43" s="8" t="n">
        <x:v>255.35548400878906</x:v>
      </x:c>
      <x:c r="P43" s="10" t="n">
        <x:f>O43-N43</x:f>
        <x:v>92.35548400878906</x:v>
      </x:c>
      <x:c r="Q43" s="8" t="n">
        <x:v>70.93650817871094</x:v>
      </x:c>
    </x:row>
    <x:row r="44">
      <x:c r="A44" s="8" t="n">
        <x:v>-8</x:v>
      </x:c>
      <x:c r="B44" s="8" t="str">
        <x:v>R18</x:v>
      </x:c>
      <x:c r="C44" s="8" t="n">
        <x:v>3.27</x:v>
      </x:c>
      <x:c r="D44" s="8" t="n">
        <x:v>3.7731435298919678</x:v>
      </x:c>
      <x:c r="E44" s="10" t="n">
        <x:f>D44-C44</x:f>
        <x:v>0.5031435298919678</x:v>
      </x:c>
      <x:c r="F44" s="8" t="n">
        <x:v>3.31</x:v>
      </x:c>
      <x:c r="G44" s="8" t="n">
        <x:v>3.8606958389282227</x:v>
      </x:c>
      <x:c r="H44" s="10" t="n">
        <x:f>G44-F44</x:f>
        <x:v>0.5506958389282226</x:v>
      </x:c>
      <x:c r="I44" s="8" t="n">
        <x:v>1.2</x:v>
      </x:c>
      <x:c r="J44" s="8" t="n">
        <x:v>-0.3842151463031769</x:v>
      </x:c>
      <x:c r="K44" s="10" t="n">
        <x:f>J44-I44</x:f>
        <x:v>-1.5842151463031768</x:v>
      </x:c>
      <x:c r="L44" s="8" t="n">
        <x:v>-1.3839267265184199</x:v>
      </x:c>
      <x:c r="M44" s="10" t="n">
        <x:f>J44-L44</x:f>
        <x:v>0.999711580215243</x:v>
      </x:c>
      <x:c r="N44" s="8" t="n">
        <x:v>164</x:v>
      </x:c>
      <x:c r="O44" s="8" t="n">
        <x:v>250.39320373535156</x:v>
      </x:c>
      <x:c r="P44" s="10" t="n">
        <x:f>O44-N44</x:f>
        <x:v>86.39320373535156</x:v>
      </x:c>
      <x:c r="Q44" s="8" t="n">
        <x:v>71.06105041503906</x:v>
      </x:c>
    </x:row>
    <x:row r="45">
      <x:c r="A45" s="8" t="n">
        <x:v>-8</x:v>
      </x:c>
      <x:c r="B45" s="8" t="str">
        <x:v>R19</x:v>
      </x:c>
      <x:c r="C45" s="8" t="n">
        <x:v>3.33</x:v>
      </x:c>
      <x:c r="D45" s="8" t="n">
        <x:v>3.754990339279175</x:v>
      </x:c>
      <x:c r="E45" s="10" t="n">
        <x:f>D45-C45</x:f>
        <x:v>0.42499033927917473</x:v>
      </x:c>
      <x:c r="F45" s="8" t="n">
        <x:v>3.33</x:v>
      </x:c>
      <x:c r="G45" s="8" t="n">
        <x:v>3.787872552871704</x:v>
      </x:c>
      <x:c r="H45" s="10" t="n">
        <x:f>G45-F45</x:f>
        <x:v>0.45787255287170403</x:v>
      </x:c>
      <x:c r="I45" s="8" t="n">
        <x:v>1.4</x:v>
      </x:c>
      <x:c r="J45" s="8" t="n">
        <x:v>-0.2642223834991455</x:v>
      </x:c>
      <x:c r="K45" s="10" t="n">
        <x:f>J45-I45</x:f>
        <x:v>-1.6642223834991454</x:v>
      </x:c>
      <x:c r="L45" s="8" t="n">
        <x:v>-1.4039409274232082</x:v>
      </x:c>
      <x:c r="M45" s="10" t="n">
        <x:f>J45-L45</x:f>
        <x:v>1.1397185439240627</x:v>
      </x:c>
      <x:c r="N45" s="8" t="n">
        <x:v>160</x:v>
      </x:c>
      <x:c r="O45" s="8" t="n">
        <x:v>251.51187133789062</x:v>
      </x:c>
      <x:c r="P45" s="10" t="n">
        <x:f>O45-N45</x:f>
        <x:v>91.51187133789062</x:v>
      </x:c>
      <x:c r="Q45" s="8" t="n">
        <x:v>71.31171417236328</x:v>
      </x:c>
    </x:row>
    <x:row r="46">
      <x:c r="A46" s="8" t="n">
        <x:v>-8</x:v>
      </x:c>
      <x:c r="B46" s="8" t="str">
        <x:v>R20</x:v>
      </x:c>
      <x:c r="C46" s="8" t="n">
        <x:v>3.38</x:v>
      </x:c>
      <x:c r="D46" s="8" t="n">
        <x:v>3.812281608581543</x:v>
      </x:c>
      <x:c r="E46" s="10" t="n">
        <x:f>D46-C46</x:f>
        <x:v>0.4322816085815431</x:v>
      </x:c>
      <x:c r="F46" s="8" t="n">
        <x:v>3.35</x:v>
      </x:c>
      <x:c r="G46" s="8" t="n">
        <x:v>3.8510444164276123</x:v>
      </x:c>
      <x:c r="H46" s="10" t="n">
        <x:f>G46-F46</x:f>
        <x:v>0.5010444164276122</x:v>
      </x:c>
      <x:c r="I46" s="8" t="n">
        <x:v>0.9</x:v>
      </x:c>
      <x:c r="J46" s="8" t="n">
        <x:v>-0.30029040575027466</x:v>
      </x:c>
      <x:c r="K46" s="10" t="n">
        <x:f>J46-I46</x:f>
        <x:v>-1.2002904057502746</x:v>
      </x:c>
      <x:c r="L46" s="8" t="n">
        <x:v>-0.32837380507959524</x:v>
      </x:c>
      <x:c r="M46" s="10" t="n">
        <x:f>J46-L46</x:f>
        <x:v>0.02808339932932058</x:v>
      </x:c>
      <x:c r="N46" s="8" t="n">
        <x:v>169</x:v>
      </x:c>
      <x:c r="O46" s="8" t="n">
        <x:v>256.6966857910156</x:v>
      </x:c>
      <x:c r="P46" s="10" t="n">
        <x:f>O46-N46</x:f>
        <x:v>87.69668579101562</x:v>
      </x:c>
      <x:c r="Q46" s="8" t="n">
        <x:v>70.7628173828125</x:v>
      </x:c>
    </x:row>
    <x:row r="47">
      <x:c r="A47" s="8" t="n">
        <x:v>-8</x:v>
      </x:c>
      <x:c r="B47" s="8" t="str">
        <x:v>R21</x:v>
      </x:c>
      <x:c r="C47" s="8" t="n">
        <x:v>3.58</x:v>
      </x:c>
      <x:c r="D47" s="8" t="n">
        <x:v>3.81250262260437</x:v>
      </x:c>
      <x:c r="E47" s="10" t="n">
        <x:f>D47-C47</x:f>
        <x:v>0.23250262260437005</x:v>
      </x:c>
      <x:c r="F47" s="8" t="n">
        <x:v>3.28</x:v>
      </x:c>
      <x:c r="G47" s="8" t="n">
        <x:v>3.875676155090332</x:v>
      </x:c>
      <x:c r="H47" s="10" t="n">
        <x:f>G47-F47</x:f>
        <x:v>0.5956761550903322</x:v>
      </x:c>
      <x:c r="I47" s="8" t="n">
        <x:v>0.6</x:v>
      </x:c>
      <x:c r="J47" s="8" t="n">
        <x:v>-0.9432291984558105</x:v>
      </x:c>
      <x:c r="K47" s="10" t="n">
        <x:f>J47-I47</x:f>
        <x:v>-1.5432291984558106</x:v>
      </x:c>
      <x:c r="L47" s="8" t="n">
        <x:v>-1.1066942510117832</x:v>
      </x:c>
      <x:c r="M47" s="10" t="n">
        <x:f>J47-L47</x:f>
        <x:v>0.16346505255597266</x:v>
      </x:c>
      <x:c r="N47" s="8" t="n">
        <x:v>176</x:v>
      </x:c>
      <x:c r="O47" s="8" t="n">
        <x:v>272.4925842285156</x:v>
      </x:c>
      <x:c r="P47" s="10" t="n">
        <x:f>O47-N47</x:f>
        <x:v>96.49258422851562</x:v>
      </x:c>
      <x:c r="Q47" s="8" t="n">
        <x:v>71.02960968017578</x:v>
      </x:c>
    </x:row>
    <x:row r="48">
      <x:c r="A48" s="8" t="n">
        <x:v>-8</x:v>
      </x:c>
      <x:c r="B48" s="8" t="str">
        <x:v>R22</x:v>
      </x:c>
      <x:c r="C48" s="8" t="n">
        <x:v>3.4</x:v>
      </x:c>
      <x:c r="D48" s="8" t="n">
        <x:v>3.663259983062744</x:v>
      </x:c>
      <x:c r="E48" s="10" t="n">
        <x:f>D48-C48</x:f>
        <x:v>0.26325998306274423</x:v>
      </x:c>
      <x:c r="F48" s="8" t="n">
        <x:v>3.32</x:v>
      </x:c>
      <x:c r="G48" s="8" t="n">
        <x:v>3.883981227874756</x:v>
      </x:c>
      <x:c r="H48" s="10" t="n">
        <x:f>G48-F48</x:f>
        <x:v>0.563981227874756</x:v>
      </x:c>
      <x:c r="I48" s="8" t="n">
        <x:v>1.4</x:v>
      </x:c>
      <x:c r="J48" s="8" t="n">
        <x:v>-0.3585452139377594</x:v>
      </x:c>
      <x:c r="K48" s="10" t="n">
        <x:f>J48-I48</x:f>
        <x:v>-1.7585452139377593</x:v>
      </x:c>
      <x:c r="L48" s="8" t="n">
        <x:v>-2.1904515118849037</x:v>
      </x:c>
      <x:c r="M48" s="10" t="n">
        <x:f>J48-L48</x:f>
        <x:v>1.8319062979471443</x:v>
      </x:c>
      <x:c r="N48" s="8" t="n">
        <x:v>164</x:v>
      </x:c>
      <x:c r="O48" s="8" t="n">
        <x:v>255.9495391845703</x:v>
      </x:c>
      <x:c r="P48" s="10" t="n">
        <x:f>O48-N48</x:f>
        <x:v>91.94953918457031</x:v>
      </x:c>
      <x:c r="Q48" s="8" t="n">
        <x:v>71.34471893310547</x:v>
      </x:c>
    </x:row>
    <x:row r="49">
      <x:c r="A49" s="8" t="n">
        <x:v>-8</x:v>
      </x:c>
      <x:c r="B49" s="8" t="str">
        <x:v>R23</x:v>
      </x:c>
      <x:c r="C49" s="8" t="n">
        <x:v>3.25</x:v>
      </x:c>
      <x:c r="D49" s="8" t="n">
        <x:v>3.585075855255127</x:v>
      </x:c>
      <x:c r="E49" s="10" t="n">
        <x:f>D49-C49</x:f>
        <x:v>0.33507585525512695</x:v>
      </x:c>
      <x:c r="F49" s="8" t="n">
        <x:v>3.29</x:v>
      </x:c>
      <x:c r="G49" s="8" t="n">
        <x:v>3.9038100242614746</x:v>
      </x:c>
      <x:c r="H49" s="10" t="n">
        <x:f>G49-F49</x:f>
        <x:v>0.6138100242614746</x:v>
      </x:c>
      <x:c r="I49" s="8" t="n">
        <x:v>1.1</x:v>
      </x:c>
      <x:c r="J49" s="8" t="n">
        <x:v>-0.47465619444847107</x:v>
      </x:c>
      <x:c r="K49" s="10" t="n">
        <x:f>J49-I49</x:f>
        <x:v>-1.5746561944484712</x:v>
      </x:c>
      <x:c r="L49" s="8" t="n">
        <x:v>-0.8346798863040255</x:v>
      </x:c>
      <x:c r="M49" s="10" t="n">
        <x:f>J49-L49</x:f>
        <x:v>0.3600236918555544</x:v>
      </x:c>
      <x:c r="N49" s="8" t="n">
        <x:v>163</x:v>
      </x:c>
      <x:c r="O49" s="8" t="n">
        <x:v>257.14691162109375</x:v>
      </x:c>
      <x:c r="P49" s="10" t="n">
        <x:f>O49-N49</x:f>
        <x:v>94.14691162109375</x:v>
      </x:c>
      <x:c r="Q49" s="8" t="n">
        <x:v>71.35821533203125</x:v>
      </x:c>
    </x:row>
    <x:row r="50">
      <x:c r="A50" s="8" t="n">
        <x:v>-8</x:v>
      </x:c>
      <x:c r="B50" s="8" t="str">
        <x:v>R24</x:v>
      </x:c>
      <x:c r="C50" s="8" t="n">
        <x:v>3.07</x:v>
      </x:c>
      <x:c r="D50" s="8" t="n">
        <x:v>3.788104295730591</x:v>
      </x:c>
      <x:c r="E50" s="10" t="n">
        <x:f>D50-C50</x:f>
        <x:v>0.718104295730591</x:v>
      </x:c>
      <x:c r="F50" s="8" t="n">
        <x:v>3.35</x:v>
      </x:c>
      <x:c r="G50" s="8" t="n">
        <x:v>3.880398750305176</x:v>
      </x:c>
      <x:c r="H50" s="10" t="n">
        <x:f>G50-F50</x:f>
        <x:v>0.5303987503051757</x:v>
      </x:c>
      <x:c r="I50" s="8" t="n">
        <x:v>0.4</x:v>
      </x:c>
      <x:c r="J50" s="8" t="n">
        <x:v>-0.7539613246917725</x:v>
      </x:c>
      <x:c r="K50" s="10" t="n">
        <x:f>J50-I50</x:f>
        <x:v>-1.1539613246917724</x:v>
      </x:c>
      <x:c r="L50" s="8" t="n">
        <x:v>-1.950523570773214</x:v>
      </x:c>
      <x:c r="M50" s="10" t="n">
        <x:f>J50-L50</x:f>
        <x:v>1.1965622460814416</x:v>
      </x:c>
      <x:c r="N50" s="8" t="n">
        <x:v>167</x:v>
      </x:c>
      <x:c r="O50" s="8" t="n">
        <x:v>263.7122497558594</x:v>
      </x:c>
      <x:c r="P50" s="10" t="n">
        <x:f>O50-N50</x:f>
        <x:v>96.71224975585938</x:v>
      </x:c>
      <x:c r="Q50" s="8" t="n">
        <x:v>71.14093017578125</x:v>
      </x:c>
    </x:row>
    <x:row r="51">
      <x:c r="A51" s="8" t="n">
        <x:v>-8</x:v>
      </x:c>
      <x:c r="B51" s="8" t="str">
        <x:v>R25</x:v>
      </x:c>
      <x:c r="C51" s="8" t="n">
        <x:v>3.21</x:v>
      </x:c>
      <x:c r="D51" s="8" t="n">
        <x:v>3.766491413116455</x:v>
      </x:c>
      <x:c r="E51" s="10" t="n">
        <x:f>D51-C51</x:f>
        <x:v>0.5564914131164551</x:v>
      </x:c>
      <x:c r="F51" s="8" t="n">
        <x:v>3.37</x:v>
      </x:c>
      <x:c r="G51" s="8" t="n">
        <x:v>3.8662843704223633</x:v>
      </x:c>
      <x:c r="H51" s="10" t="n">
        <x:f>G51-F51</x:f>
        <x:v>0.4962843704223632</x:v>
      </x:c>
      <x:c r="I51" s="8" t="n">
        <x:v>1.2</x:v>
      </x:c>
      <x:c r="J51" s="8" t="n">
        <x:v>-0.4826745390892029</x:v>
      </x:c>
      <x:c r="K51" s="10" t="n">
        <x:f>J51-I51</x:f>
        <x:v>-1.6826745390892028</x:v>
      </x:c>
      <x:c r="L51" s="8" t="n">
        <x:v>-0.4083518838008549</x:v>
      </x:c>
      <x:c r="M51" s="10" t="n">
        <x:f>J51-L51</x:f>
        <x:v>-0.07432265528834797</x:v>
      </x:c>
      <x:c r="N51" s="8" t="n">
        <x:v>161</x:v>
      </x:c>
      <x:c r="O51" s="8" t="n">
        <x:v>266.6919250488281</x:v>
      </x:c>
      <x:c r="P51" s="10" t="n">
        <x:f>O51-N51</x:f>
        <x:v>105.69192504882812</x:v>
      </x:c>
      <x:c r="Q51" s="8" t="n">
        <x:v>70.8876724243164</x:v>
      </x:c>
    </x:row>
    <x:row r="52">
      <x:c r="A52" s="8" t="n">
        <x:v>-16</x:v>
      </x:c>
      <x:c r="B52" s="8" t="str">
        <x:v>R01</x:v>
      </x:c>
      <x:c r="C52" s="8" t="n">
        <x:v>3.56</x:v>
      </x:c>
      <x:c r="D52" s="8" t="n">
        <x:v>3.6557557582855225</x:v>
      </x:c>
      <x:c r="E52" s="10" t="n">
        <x:f>D52-C52</x:f>
        <x:v>0.09575575828552241</x:v>
      </x:c>
      <x:c r="F52" s="8" t="n">
        <x:v>3.35</x:v>
      </x:c>
      <x:c r="G52" s="8" t="n">
        <x:v>3.722323417663574</x:v>
      </x:c>
      <x:c r="H52" s="10" t="n">
        <x:f>G52-F52</x:f>
        <x:v>0.37232341766357413</x:v>
      </x:c>
      <x:c r="I52" s="8" t="n">
        <x:v>0.1</x:v>
      </x:c>
      <x:c r="J52" s="8" t="n">
        <x:v>-1.5892003774642944</x:v>
      </x:c>
      <x:c r="K52" s="10" t="n">
        <x:f>J52-I52</x:f>
        <x:v>-1.6892003774642945</x:v>
      </x:c>
      <x:c r="L52" s="8" t="n">
        <x:v>-3.498687534579019</x:v>
      </x:c>
      <x:c r="M52" s="10" t="n">
        <x:f>J52-L52</x:f>
        <x:v>1.9094871571147247</x:v>
      </x:c>
      <x:c r="N52" s="8" t="n">
        <x:v>171</x:v>
      </x:c>
      <x:c r="O52" s="8" t="n">
        <x:v>233.19200134277344</x:v>
      </x:c>
      <x:c r="P52" s="10" t="n">
        <x:f>O52-N52</x:f>
        <x:v>62.19200134277344</x:v>
      </x:c>
      <x:c r="Q52" s="8" t="n">
        <x:v>70.66268920898438</x:v>
      </x:c>
    </x:row>
    <x:row r="53">
      <x:c r="A53" s="8" t="n">
        <x:v>-16</x:v>
      </x:c>
      <x:c r="B53" s="8" t="str">
        <x:v>R02</x:v>
      </x:c>
      <x:c r="C53" s="8" t="n">
        <x:v>3.51</x:v>
      </x:c>
      <x:c r="D53" s="8" t="n">
        <x:v>3.6328375339508057</x:v>
      </x:c>
      <x:c r="E53" s="10" t="n">
        <x:f>D53-C53</x:f>
        <x:v>0.12283753395080588</x:v>
      </x:c>
      <x:c r="F53" s="8" t="n">
        <x:v>3.39</x:v>
      </x:c>
      <x:c r="G53" s="8" t="n">
        <x:v>3.717810869216919</x:v>
      </x:c>
      <x:c r="H53" s="10" t="n">
        <x:f>G53-F53</x:f>
        <x:v>0.3278108692169188</x:v>
      </x:c>
      <x:c r="I53" s="8" t="n">
        <x:v>0.5</x:v>
      </x:c>
      <x:c r="J53" s="8" t="n">
        <x:v>-1.5641952753067017</x:v>
      </x:c>
      <x:c r="K53" s="10" t="n">
        <x:f>J53-I53</x:f>
        <x:v>-2.0641952753067017</x:v>
      </x:c>
      <x:c r="L53" s="8" t="n">
        <x:v>-3.199142148119897</x:v>
      </x:c>
      <x:c r="M53" s="10" t="n">
        <x:f>J53-L53</x:f>
        <x:v>1.6349468728131953</x:v>
      </x:c>
      <x:c r="N53" s="8" t="n">
        <x:v>159</x:v>
      </x:c>
      <x:c r="O53" s="8" t="n">
        <x:v>219.57583618164062</x:v>
      </x:c>
      <x:c r="P53" s="10" t="n">
        <x:f>O53-N53</x:f>
        <x:v>60.575836181640625</x:v>
      </x:c>
      <x:c r="Q53" s="8" t="n">
        <x:v>70.91753387451172</x:v>
      </x:c>
    </x:row>
    <x:row r="54">
      <x:c r="A54" s="8" t="n">
        <x:v>-16</x:v>
      </x:c>
      <x:c r="B54" s="8" t="str">
        <x:v>R03</x:v>
      </x:c>
      <x:c r="C54" s="8" t="n">
        <x:v>3.3</x:v>
      </x:c>
      <x:c r="D54" s="8" t="n">
        <x:v>3.6956043243408203</x:v>
      </x:c>
      <x:c r="E54" s="10" t="n">
        <x:f>D54-C54</x:f>
        <x:v>0.3956043243408205</x:v>
      </x:c>
      <x:c r="F54" s="8" t="n">
        <x:v>3.37</x:v>
      </x:c>
      <x:c r="G54" s="8" t="n">
        <x:v>3.7391536235809326</x:v>
      </x:c>
      <x:c r="H54" s="10" t="n">
        <x:f>G54-F54</x:f>
        <x:v>0.3691536235809325</x:v>
      </x:c>
      <x:c r="I54" s="8" t="n">
        <x:v>0.5</x:v>
      </x:c>
      <x:c r="J54" s="8" t="n">
        <x:v>-0.8812982439994812</x:v>
      </x:c>
      <x:c r="K54" s="10" t="n">
        <x:f>J54-I54</x:f>
        <x:v>-1.3812982439994812</x:v>
      </x:c>
      <x:c r="L54" s="8" t="n">
        <x:v>-3.101829515823934</x:v>
      </x:c>
      <x:c r="M54" s="10" t="n">
        <x:f>J54-L54</x:f>
        <x:v>2.220531271824453</x:v>
      </x:c>
      <x:c r="N54" s="8" t="n">
        <x:v>152</x:v>
      </x:c>
      <x:c r="O54" s="8" t="n">
        <x:v>209.60635375976562</x:v>
      </x:c>
      <x:c r="P54" s="10" t="n">
        <x:f>O54-N54</x:f>
        <x:v>57.606353759765625</x:v>
      </x:c>
      <x:c r="Q54" s="8" t="n">
        <x:v>71.07954406738281</x:v>
      </x:c>
    </x:row>
    <x:row r="55">
      <x:c r="A55" s="8" t="n">
        <x:v>-16</x:v>
      </x:c>
      <x:c r="B55" s="8" t="str">
        <x:v>R04</x:v>
      </x:c>
      <x:c r="C55" s="8" t="n">
        <x:v>3.35</x:v>
      </x:c>
      <x:c r="D55" s="8" t="n">
        <x:v>3.7361409664154053</x:v>
      </x:c>
      <x:c r="E55" s="10" t="n">
        <x:f>D55-C55</x:f>
        <x:v>0.3861409664154052</x:v>
      </x:c>
      <x:c r="F55" s="8" t="n">
        <x:v>3.38</x:v>
      </x:c>
      <x:c r="G55" s="8" t="n">
        <x:v>3.7105441093444824</x:v>
      </x:c>
      <x:c r="H55" s="10" t="n">
        <x:f>G55-F55</x:f>
        <x:v>0.33054410934448253</x:v>
      </x:c>
      <x:c r="I55" s="8" t="n">
        <x:v>-0.3</x:v>
      </x:c>
      <x:c r="J55" s="8" t="n">
        <x:v>-1.7260265350341797</x:v>
      </x:c>
      <x:c r="K55" s="10" t="n">
        <x:f>J55-I55</x:f>
        <x:v>-1.4260265350341796</x:v>
      </x:c>
      <x:c r="L55" s="8" t="n">
        <x:v>-3.337296298139863</x:v>
      </x:c>
      <x:c r="M55" s="10" t="n">
        <x:f>J55-L55</x:f>
        <x:v>1.6112697631056832</x:v>
      </x:c>
      <x:c r="N55" s="8" t="n">
        <x:v>168</x:v>
      </x:c>
      <x:c r="O55" s="8" t="n">
        <x:v>235.7357177734375</x:v>
      </x:c>
      <x:c r="P55" s="10" t="n">
        <x:f>O55-N55</x:f>
        <x:v>67.7357177734375</x:v>
      </x:c>
      <x:c r="Q55" s="8" t="n">
        <x:v>70.58124542236328</x:v>
      </x:c>
    </x:row>
    <x:row r="56">
      <x:c r="A56" s="8" t="n">
        <x:v>-16</x:v>
      </x:c>
      <x:c r="B56" s="8" t="str">
        <x:v>R05</x:v>
      </x:c>
      <x:c r="C56" s="8" t="n">
        <x:v>3.64</x:v>
      </x:c>
      <x:c r="D56" s="8" t="n">
        <x:v>3.5130109786987305</x:v>
      </x:c>
      <x:c r="E56" s="10" t="n">
        <x:f>D56-C56</x:f>
        <x:v>-0.12698902130126966</x:v>
      </x:c>
      <x:c r="F56" s="8" t="n">
        <x:v>3.27</x:v>
      </x:c>
      <x:c r="G56" s="8" t="n">
        <x:v>3.714761734008789</x:v>
      </x:c>
      <x:c r="H56" s="10" t="n">
        <x:f>G56-F56</x:f>
        <x:v>0.44476173400878904</x:v>
      </x:c>
      <x:c r="I56" s="8" t="n">
        <x:v>-0.6</x:v>
      </x:c>
      <x:c r="J56" s="8" t="n">
        <x:v>-2.0840981006622314</x:v>
      </x:c>
      <x:c r="K56" s="10" t="n">
        <x:f>J56-I56</x:f>
        <x:v>-1.4840981006622314</x:v>
      </x:c>
      <x:c r="L56" s="8" t="n">
        <x:v>-3.246103452393099</x:v>
      </x:c>
      <x:c r="M56" s="10" t="n">
        <x:f>J56-L56</x:f>
        <x:v>1.1620053517308677</x:v>
      </x:c>
      <x:c r="N56" s="8" t="n">
        <x:v>186</x:v>
      </x:c>
      <x:c r="O56" s="8" t="n">
        <x:v>240.45208740234375</x:v>
      </x:c>
      <x:c r="P56" s="10" t="n">
        <x:f>O56-N56</x:f>
        <x:v>54.45208740234375</x:v>
      </x:c>
      <x:c r="Q56" s="8" t="n">
        <x:v>70.61329650878906</x:v>
      </x:c>
    </x:row>
    <x:row r="57">
      <x:c r="A57" s="8" t="n">
        <x:v>-16</x:v>
      </x:c>
      <x:c r="B57" s="8" t="str">
        <x:v>R06</x:v>
      </x:c>
      <x:c r="C57" s="8" t="n">
        <x:v>3.33</x:v>
      </x:c>
      <x:c r="D57" s="8" t="n">
        <x:v>3.4907796382904053</x:v>
      </x:c>
      <x:c r="E57" s="10" t="n">
        <x:f>D57-C57</x:f>
        <x:v>0.1607796382904052</x:v>
      </x:c>
      <x:c r="F57" s="8" t="n">
        <x:v>3.3</x:v>
      </x:c>
      <x:c r="G57" s="8" t="n">
        <x:v>3.731031656265259</x:v>
      </x:c>
      <x:c r="H57" s="10" t="n">
        <x:f>G57-F57</x:f>
        <x:v>0.43103165626525897</x:v>
      </x:c>
      <x:c r="I57" s="8" t="n">
        <x:v>1</x:v>
      </x:c>
      <x:c r="J57" s="8" t="n">
        <x:v>-0.2981109321117401</x:v>
      </x:c>
      <x:c r="K57" s="10" t="n">
        <x:f>J57-I57</x:f>
        <x:v>-1.2981109321117401</x:v>
      </x:c>
      <x:c r="L57" s="8" t="n">
        <x:v>-1.5889710455791648</x:v>
      </x:c>
      <x:c r="M57" s="10" t="n">
        <x:f>J57-L57</x:f>
        <x:v>1.2908601134674247</x:v>
      </x:c>
      <x:c r="N57" s="8" t="n">
        <x:v>151</x:v>
      </x:c>
      <x:c r="O57" s="8" t="n">
        <x:v>213.83473205566406</x:v>
      </x:c>
      <x:c r="P57" s="10" t="n">
        <x:f>O57-N57</x:f>
        <x:v>62.83473205566406</x:v>
      </x:c>
      <x:c r="Q57" s="8" t="n">
        <x:v>71.23401641845703</x:v>
      </x:c>
    </x:row>
    <x:row r="58">
      <x:c r="A58" s="8" t="n">
        <x:v>-16</x:v>
      </x:c>
      <x:c r="B58" s="8" t="str">
        <x:v>R07</x:v>
      </x:c>
      <x:c r="C58" s="8" t="n">
        <x:v>3.48</x:v>
      </x:c>
      <x:c r="D58" s="8" t="n">
        <x:v>3.534440517425537</x:v>
      </x:c>
      <x:c r="E58" s="10" t="n">
        <x:f>D58-C58</x:f>
        <x:v>0.05444051742553713</x:v>
      </x:c>
      <x:c r="F58" s="8" t="n">
        <x:v>3.31</x:v>
      </x:c>
      <x:c r="G58" s="8" t="n">
        <x:v>3.718219041824341</x:v>
      </x:c>
      <x:c r="H58" s="10" t="n">
        <x:f>G58-F58</x:f>
        <x:v>0.40821904182434077</x:v>
      </x:c>
      <x:c r="I58" s="8" t="n">
        <x:v>1.5</x:v>
      </x:c>
      <x:c r="J58" s="8" t="n">
        <x:v>0.6906092762947083</x:v>
      </x:c>
      <x:c r="K58" s="10" t="n">
        <x:f>J58-I58</x:f>
        <x:v>-0.8093907237052917</x:v>
      </x:c>
      <x:c r="L58" s="8" t="n">
        <x:v>-1.0722885326993195</x:v>
      </x:c>
      <x:c r="M58" s="10" t="n">
        <x:f>J58-L58</x:f>
        <x:v>1.7628978089940277</x:v>
      </x:c>
      <x:c r="N58" s="8" t="n">
        <x:v>144</x:v>
      </x:c>
      <x:c r="O58" s="8" t="n">
        <x:v>193.84161376953125</x:v>
      </x:c>
      <x:c r="P58" s="10" t="n">
        <x:f>O58-N58</x:f>
        <x:v>49.84161376953125</x:v>
      </x:c>
      <x:c r="Q58" s="8" t="n">
        <x:v>71.60745239257812</x:v>
      </x:c>
    </x:row>
    <x:row r="59">
      <x:c r="A59" s="8" t="n">
        <x:v>-16</x:v>
      </x:c>
      <x:c r="B59" s="8" t="str">
        <x:v>R08</x:v>
      </x:c>
      <x:c r="C59" s="8" t="n">
        <x:v>3.15</x:v>
      </x:c>
      <x:c r="D59" s="8" t="n">
        <x:v>3.463282823562622</x:v>
      </x:c>
      <x:c r="E59" s="10" t="n">
        <x:f>D59-C59</x:f>
        <x:v>0.31328282356262216</x:v>
      </x:c>
      <x:c r="F59" s="8" t="n">
        <x:v>3.36</x:v>
      </x:c>
      <x:c r="G59" s="8" t="n">
        <x:v>3.729745388031006</x:v>
      </x:c>
      <x:c r="H59" s="10" t="n">
        <x:f>G59-F59</x:f>
        <x:v>0.369745388031006</x:v>
      </x:c>
      <x:c r="I59" s="8" t="n">
        <x:v>1.7</x:v>
      </x:c>
      <x:c r="J59" s="8" t="n">
        <x:v>0.8466895818710327</x:v>
      </x:c>
      <x:c r="K59" s="10" t="n">
        <x:f>J59-I59</x:f>
        <x:v>-0.8533104181289672</x:v>
      </x:c>
      <x:c r="L59" s="8" t="n">
        <x:v>-1.3542736090556486</x:v>
      </x:c>
      <x:c r="M59" s="10" t="n">
        <x:f>J59-L59</x:f>
        <x:v>2.2009631909266814</x:v>
      </x:c>
      <x:c r="N59" s="8" t="n">
        <x:v>131</x:v>
      </x:c>
      <x:c r="O59" s="8" t="n">
        <x:v>189.0257568359375</x:v>
      </x:c>
      <x:c r="P59" s="10" t="n">
        <x:f>O59-N59</x:f>
        <x:v>58.0257568359375</x:v>
      </x:c>
      <x:c r="Q59" s="8" t="n">
        <x:v>71.80245208740234</x:v>
      </x:c>
    </x:row>
    <x:row r="60">
      <x:c r="A60" s="8" t="n">
        <x:v>-16</x:v>
      </x:c>
      <x:c r="B60" s="8" t="str">
        <x:v>R09</x:v>
      </x:c>
      <x:c r="C60" s="8" t="n">
        <x:v>3.37</x:v>
      </x:c>
      <x:c r="D60" s="8" t="n">
        <x:v>3.544560194015503</x:v>
      </x:c>
      <x:c r="E60" s="10" t="n">
        <x:f>D60-C60</x:f>
        <x:v>0.17456019401550282</x:v>
      </x:c>
      <x:c r="F60" s="8" t="n">
        <x:v>3.37</x:v>
      </x:c>
      <x:c r="G60" s="8" t="n">
        <x:v>3.734011650085449</x:v>
      </x:c>
      <x:c r="H60" s="10" t="n">
        <x:f>G60-F60</x:f>
        <x:v>0.3640116500854491</x:v>
      </x:c>
      <x:c r="I60" s="8" t="n">
        <x:v>1.3</x:v>
      </x:c>
      <x:c r="J60" s="8" t="n">
        <x:v>0.10913223773241043</x:v>
      </x:c>
      <x:c r="K60" s="10" t="n">
        <x:f>J60-I60</x:f>
        <x:v>-1.1908677622675896</x:v>
      </x:c>
      <x:c r="L60" s="8" t="n">
        <x:v>-2.1019673525693494</x:v>
      </x:c>
      <x:c r="M60" s="10" t="n">
        <x:f>J60-L60</x:f>
        <x:v>2.21109959030176</x:v>
      </x:c>
      <x:c r="N60" s="8" t="n">
        <x:v>143</x:v>
      </x:c>
      <x:c r="O60" s="8" t="n">
        <x:v>208.20289611816406</x:v>
      </x:c>
      <x:c r="P60" s="10" t="n">
        <x:f>O60-N60</x:f>
        <x:v>65.20289611816406</x:v>
      </x:c>
      <x:c r="Q60" s="8" t="n">
        <x:v>71.31547546386719</x:v>
      </x:c>
    </x:row>
    <x:row r="61">
      <x:c r="A61" s="8" t="n">
        <x:v>-16</x:v>
      </x:c>
      <x:c r="B61" s="8" t="str">
        <x:v>R10</x:v>
      </x:c>
      <x:c r="C61" s="8" t="n">
        <x:v>3.38</x:v>
      </x:c>
      <x:c r="D61" s="8" t="n">
        <x:v>3.563453435897827</x:v>
      </x:c>
      <x:c r="E61" s="10" t="n">
        <x:f>D61-C61</x:f>
        <x:v>0.18345343589782726</x:v>
      </x:c>
      <x:c r="F61" s="8" t="n">
        <x:v>3.34</x:v>
      </x:c>
      <x:c r="G61" s="8" t="n">
        <x:v>3.711294412612915</x:v>
      </x:c>
      <x:c r="H61" s="10" t="n">
        <x:f>G61-F61</x:f>
        <x:v>0.3712944126129152</x:v>
      </x:c>
      <x:c r="I61" s="8" t="n">
        <x:v>-0.6</x:v>
      </x:c>
      <x:c r="J61" s="8" t="n">
        <x:v>-1.4651621580123901</x:v>
      </x:c>
      <x:c r="K61" s="10" t="n">
        <x:f>J61-I61</x:f>
        <x:v>-0.8651621580123902</x:v>
      </x:c>
      <x:c r="L61" s="8" t="n">
        <x:v>-3.4922291572648296</x:v>
      </x:c>
      <x:c r="M61" s="10" t="n">
        <x:f>J61-L61</x:f>
        <x:v>2.0270669992524395</x:v>
      </x:c>
      <x:c r="N61" s="8" t="n">
        <x:v>179</x:v>
      </x:c>
      <x:c r="O61" s="8" t="n">
        <x:v>238.9356689453125</x:v>
      </x:c>
      <x:c r="P61" s="10" t="n">
        <x:f>O61-N61</x:f>
        <x:v>59.9356689453125</x:v>
      </x:c>
      <x:c r="Q61" s="8" t="n">
        <x:v>70.55950927734375</x:v>
      </x:c>
    </x:row>
    <x:row r="62">
      <x:c r="A62" s="8" t="n">
        <x:v>-16</x:v>
      </x:c>
      <x:c r="B62" s="8" t="str">
        <x:v>R11</x:v>
      </x:c>
      <x:c r="C62" s="8" t="n">
        <x:v>3.53</x:v>
      </x:c>
      <x:c r="D62" s="8" t="n">
        <x:v>3.656857967376709</x:v>
      </x:c>
      <x:c r="E62" s="10" t="n">
        <x:f>D62-C62</x:f>
        <x:v>0.12685796737670918</x:v>
      </x:c>
      <x:c r="F62" s="8" t="n">
        <x:v>3.22</x:v>
      </x:c>
      <x:c r="G62" s="8" t="n">
        <x:v>3.7220942974090576</x:v>
      </x:c>
      <x:c r="H62" s="10" t="n">
        <x:f>G62-F62</x:f>
        <x:v>0.5020942974090574</x:v>
      </x:c>
      <x:c r="I62" s="8" t="n">
        <x:v>1.3</x:v>
      </x:c>
      <x:c r="J62" s="8" t="n">
        <x:v>-0.08740450441837311</x:v>
      </x:c>
      <x:c r="K62" s="10" t="n">
        <x:f>J62-I62</x:f>
        <x:v>-1.3874045044183732</x:v>
      </x:c>
      <x:c r="L62" s="8" t="n">
        <x:v>-0.9803848194932492</x:v>
      </x:c>
      <x:c r="M62" s="10" t="n">
        <x:f>J62-L62</x:f>
        <x:v>0.8929803150748761</x:v>
      </x:c>
      <x:c r="N62" s="8" t="n">
        <x:v>160</x:v>
      </x:c>
      <x:c r="O62" s="8" t="n">
        <x:v>228.039306640625</x:v>
      </x:c>
      <x:c r="P62" s="10" t="n">
        <x:f>O62-N62</x:f>
        <x:v>68.039306640625</x:v>
      </x:c>
      <x:c r="Q62" s="8" t="n">
        <x:v>71.09823608398438</x:v>
      </x:c>
    </x:row>
    <x:row r="63">
      <x:c r="A63" s="8" t="n">
        <x:v>-16</x:v>
      </x:c>
      <x:c r="B63" s="8" t="str">
        <x:v>R12</x:v>
      </x:c>
      <x:c r="C63" s="8" t="n">
        <x:v>3.44</x:v>
      </x:c>
      <x:c r="D63" s="8" t="n">
        <x:v>3.6171741485595703</x:v>
      </x:c>
      <x:c r="E63" s="10" t="n">
        <x:f>D63-C63</x:f>
        <x:v>0.17717414855957037</x:v>
      </x:c>
      <x:c r="F63" s="8" t="n">
        <x:v>3.35</x:v>
      </x:c>
      <x:c r="G63" s="8" t="n">
        <x:v>3.7508647441864014</x:v>
      </x:c>
      <x:c r="H63" s="10" t="n">
        <x:f>G63-F63</x:f>
        <x:v>0.4008647441864013</x:v>
      </x:c>
      <x:c r="I63" s="8" t="n">
        <x:v>1.5</x:v>
      </x:c>
      <x:c r="J63" s="8" t="n">
        <x:v>0.022096902132034302</x:v>
      </x:c>
      <x:c r="K63" s="10" t="n">
        <x:f>J63-I63</x:f>
        <x:v>-1.4779030978679657</x:v>
      </x:c>
      <x:c r="L63" s="8" t="n">
        <x:v>-1.884771667271644</x:v>
      </x:c>
      <x:c r="M63" s="10" t="n">
        <x:f>J63-L63</x:f>
        <x:v>1.9068685694036782</x:v>
      </x:c>
      <x:c r="N63" s="8" t="n">
        <x:v>153</x:v>
      </x:c>
      <x:c r="O63" s="8" t="n">
        <x:v>227.46292114257812</x:v>
      </x:c>
      <x:c r="P63" s="10" t="n">
        <x:f>O63-N63</x:f>
        <x:v>74.46292114257812</x:v>
      </x:c>
      <x:c r="Q63" s="8" t="n">
        <x:v>71.0676498413086</x:v>
      </x:c>
    </x:row>
    <x:row r="64">
      <x:c r="A64" s="8" t="n">
        <x:v>-16</x:v>
      </x:c>
      <x:c r="B64" s="8" t="str">
        <x:v>R13</x:v>
      </x:c>
      <x:c r="C64" s="8" t="n">
        <x:v>3.5</x:v>
      </x:c>
      <x:c r="D64" s="8" t="n">
        <x:v>3.618969678878784</x:v>
      </x:c>
      <x:c r="E64" s="10" t="n">
        <x:f>D64-C64</x:f>
        <x:v>0.11896967887878418</x:v>
      </x:c>
      <x:c r="F64" s="8" t="n">
        <x:v>3.39</x:v>
      </x:c>
      <x:c r="G64" s="8" t="n">
        <x:v>3.763469934463501</x:v>
      </x:c>
      <x:c r="H64" s="10" t="n">
        <x:f>G64-F64</x:f>
        <x:v>0.37346993446350085</x:v>
      </x:c>
      <x:c r="I64" s="8" t="n">
        <x:v>1.6</x:v>
      </x:c>
      <x:c r="J64" s="8" t="n">
        <x:v>0.05431150645017624</x:v>
      </x:c>
      <x:c r="K64" s="10" t="n">
        <x:f>J64-I64</x:f>
        <x:v>-1.5456884935498238</x:v>
      </x:c>
      <x:c r="L64" s="8" t="n">
        <x:v>-1.6202024204384382</x:v>
      </x:c>
      <x:c r="M64" s="10" t="n">
        <x:f>J64-L64</x:f>
        <x:v>1.6745139268886144</x:v>
      </x:c>
      <x:c r="N64" s="8" t="n">
        <x:v>154</x:v>
      </x:c>
      <x:c r="O64" s="8" t="n">
        <x:v>226.24270629882812</x:v>
      </x:c>
      <x:c r="P64" s="10" t="n">
        <x:f>O64-N64</x:f>
        <x:v>72.24270629882812</x:v>
      </x:c>
      <x:c r="Q64" s="8" t="n">
        <x:v>71.0948486328125</x:v>
      </x:c>
    </x:row>
    <x:row r="65">
      <x:c r="A65" s="8" t="n">
        <x:v>-16</x:v>
      </x:c>
      <x:c r="B65" s="8" t="str">
        <x:v>R14</x:v>
      </x:c>
      <x:c r="C65" s="8" t="n">
        <x:v>3.35</x:v>
      </x:c>
      <x:c r="D65" s="8" t="n">
        <x:v>3.5681538581848145</x:v>
      </x:c>
      <x:c r="E65" s="10" t="n">
        <x:f>D65-C65</x:f>
        <x:v>0.21815385818481436</x:v>
      </x:c>
      <x:c r="F65" s="8" t="n">
        <x:v>3.36</x:v>
      </x:c>
      <x:c r="G65" s="8" t="n">
        <x:v>3.7628469467163086</x:v>
      </x:c>
      <x:c r="H65" s="10" t="n">
        <x:f>G65-F65</x:f>
        <x:v>0.4028469467163087</x:v>
      </x:c>
      <x:c r="I65" s="8" t="n">
        <x:v>1.4</x:v>
      </x:c>
      <x:c r="J65" s="8" t="n">
        <x:v>-0.16575095057487488</x:v>
      </x:c>
      <x:c r="K65" s="10" t="n">
        <x:f>J65-I65</x:f>
        <x:v>-1.5657509505748748</x:v>
      </x:c>
      <x:c r="L65" s="8" t="n">
        <x:v>-1.59226476322939</x:v>
      </x:c>
      <x:c r="M65" s="10" t="n">
        <x:f>J65-L65</x:f>
        <x:v>1.4265138126545152</x:v>
      </x:c>
      <x:c r="N65" s="8" t="n">
        <x:v>156</x:v>
      </x:c>
      <x:c r="O65" s="8" t="n">
        <x:v>227.56349182128906</x:v>
      </x:c>
      <x:c r="P65" s="10" t="n">
        <x:f>O65-N65</x:f>
        <x:v>71.56349182128906</x:v>
      </x:c>
      <x:c r="Q65" s="8" t="n">
        <x:v>71.02703094482422</x:v>
      </x:c>
    </x:row>
    <x:row r="66">
      <x:c r="A66" s="8" t="n">
        <x:v>-16</x:v>
      </x:c>
      <x:c r="B66" s="8" t="str">
        <x:v>R15</x:v>
      </x:c>
      <x:c r="C66" s="8" t="n">
        <x:v>3.42</x:v>
      </x:c>
      <x:c r="D66" s="8" t="n">
        <x:v>3.673166036605835</x:v>
      </x:c>
      <x:c r="E66" s="10" t="n">
        <x:f>D66-C66</x:f>
        <x:v>0.25316603660583503</x:v>
      </x:c>
      <x:c r="F66" s="8" t="n">
        <x:v>3.24</x:v>
      </x:c>
      <x:c r="G66" s="8" t="n">
        <x:v>3.7159817218780518</x:v>
      </x:c>
      <x:c r="H66" s="10" t="n">
        <x:f>G66-F66</x:f>
        <x:v>0.47598172187805154</x:v>
      </x:c>
      <x:c r="I66" s="8" t="n">
        <x:v>0.1</x:v>
      </x:c>
      <x:c r="J66" s="8" t="n">
        <x:v>-0.9636377096176147</x:v>
      </x:c>
      <x:c r="K66" s="10" t="n">
        <x:f>J66-I66</x:f>
        <x:v>-1.0636377096176148</x:v>
      </x:c>
      <x:c r="L66" s="8" t="n">
        <x:v>-1.393498528630487</x:v>
      </x:c>
      <x:c r="M66" s="10" t="n">
        <x:f>J66-L66</x:f>
        <x:v>0.4298608190128723</x:v>
      </x:c>
      <x:c r="N66" s="8" t="n">
        <x:v>176</x:v>
      </x:c>
      <x:c r="O66" s="8" t="n">
        <x:v>246.86688232421875</x:v>
      </x:c>
      <x:c r="P66" s="10" t="n">
        <x:f>O66-N66</x:f>
        <x:v>70.86688232421875</x:v>
      </x:c>
      <x:c r="Q66" s="8" t="n">
        <x:v>70.6733627319336</x:v>
      </x:c>
    </x:row>
    <x:row r="67">
      <x:c r="A67" s="8" t="n">
        <x:v>-16</x:v>
      </x:c>
      <x:c r="B67" s="8" t="str">
        <x:v>R16</x:v>
      </x:c>
      <x:c r="C67" s="8" t="n">
        <x:v>3.38</x:v>
      </x:c>
      <x:c r="D67" s="8" t="n">
        <x:v>3.6318750381469727</x:v>
      </x:c>
      <x:c r="E67" s="10" t="n">
        <x:f>D67-C67</x:f>
        <x:v>0.25187503814697276</x:v>
      </x:c>
      <x:c r="F67" s="8" t="n">
        <x:v>3.28</x:v>
      </x:c>
      <x:c r="G67" s="8" t="n">
        <x:v>3.8237366676330566</x:v>
      </x:c>
      <x:c r="H67" s="10" t="n">
        <x:f>G67-F67</x:f>
        <x:v>0.5437366676330568</x:v>
      </x:c>
      <x:c r="I67" s="8" t="n">
        <x:v>0.1</x:v>
      </x:c>
      <x:c r="J67" s="8" t="n">
        <x:v>-1.1362632513046265</x:v>
      </x:c>
      <x:c r="K67" s="10" t="n">
        <x:f>J67-I67</x:f>
        <x:v>-1.2362632513046266</x:v>
      </x:c>
      <x:c r="L67" s="8" t="n">
        <x:v>-2.2618676415478185</x:v>
      </x:c>
      <x:c r="M67" s="10" t="n">
        <x:f>J67-L67</x:f>
        <x:v>1.125604390243192</x:v>
      </x:c>
      <x:c r="N67" s="8" t="n">
        <x:v>183</x:v>
      </x:c>
      <x:c r="O67" s="8" t="n">
        <x:v>263.6674499511719</x:v>
      </x:c>
      <x:c r="P67" s="10" t="n">
        <x:f>O67-N67</x:f>
        <x:v>80.66744995117188</x:v>
      </x:c>
      <x:c r="Q67" s="8" t="n">
        <x:v>70.44369506835938</x:v>
      </x:c>
    </x:row>
    <x:row r="68">
      <x:c r="A68" s="8" t="n">
        <x:v>-16</x:v>
      </x:c>
      <x:c r="B68" s="8" t="str">
        <x:v>R17</x:v>
      </x:c>
      <x:c r="C68" s="8" t="n">
        <x:v>3.31</x:v>
      </x:c>
      <x:c r="D68" s="8" t="n">
        <x:v>3.6269948482513428</x:v>
      </x:c>
      <x:c r="E68" s="10" t="n">
        <x:f>D68-C68</x:f>
        <x:v>0.3169948482513427</x:v>
      </x:c>
      <x:c r="F68" s="8" t="n">
        <x:v>3.33</x:v>
      </x:c>
      <x:c r="G68" s="8" t="n">
        <x:v>3.8529584407806396</x:v>
      </x:c>
      <x:c r="H68" s="10" t="n">
        <x:f>G68-F68</x:f>
        <x:v>0.5229584407806396</x:v>
      </x:c>
      <x:c r="I68" s="8" t="n">
        <x:v>0.8</x:v>
      </x:c>
      <x:c r="J68" s="8" t="n">
        <x:v>-0.3470905125141144</x:v>
      </x:c>
      <x:c r="K68" s="10" t="n">
        <x:f>J68-I68</x:f>
        <x:v>-1.1470905125141144</x:v>
      </x:c>
      <x:c r="L68" s="8" t="n">
        <x:v>-1.022879419679668</x:v>
      </x:c>
      <x:c r="M68" s="10" t="n">
        <x:f>J68-L68</x:f>
        <x:v>0.6757889071655536</x:v>
      </x:c>
      <x:c r="N68" s="8" t="n">
        <x:v>170</x:v>
      </x:c>
      <x:c r="O68" s="8" t="n">
        <x:v>252.6474609375</x:v>
      </x:c>
      <x:c r="P68" s="10" t="n">
        <x:f>O68-N68</x:f>
        <x:v>82.6474609375</x:v>
      </x:c>
      <x:c r="Q68" s="8" t="n">
        <x:v>70.60208892822266</x:v>
      </x:c>
    </x:row>
    <x:row r="69">
      <x:c r="A69" s="8" t="n">
        <x:v>-16</x:v>
      </x:c>
      <x:c r="B69" s="8" t="str">
        <x:v>R18</x:v>
      </x:c>
      <x:c r="C69" s="8" t="n">
        <x:v>3.31</x:v>
      </x:c>
      <x:c r="D69" s="8" t="n">
        <x:v>3.6477627754211426</x:v>
      </x:c>
      <x:c r="E69" s="10" t="n">
        <x:f>D69-C69</x:f>
        <x:v>0.3377627754211425</x:v>
      </x:c>
      <x:c r="F69" s="8" t="n">
        <x:v>3.32</x:v>
      </x:c>
      <x:c r="G69" s="8" t="n">
        <x:v>3.8266348838806152</x:v>
      </x:c>
      <x:c r="H69" s="10" t="n">
        <x:f>G69-F69</x:f>
        <x:v>0.5066348838806154</x:v>
      </x:c>
      <x:c r="I69" s="8" t="n">
        <x:v>0.6</x:v>
      </x:c>
      <x:c r="J69" s="8" t="n">
        <x:v>-0.6940773129463196</x:v>
      </x:c>
      <x:c r="K69" s="10" t="n">
        <x:f>J69-I69</x:f>
        <x:v>-1.2940773129463197</x:v>
      </x:c>
      <x:c r="L69" s="8" t="n">
        <x:v>-1.120055433652301</x:v>
      </x:c>
      <x:c r="M69" s="10" t="n">
        <x:f>J69-L69</x:f>
        <x:v>0.4259781207059814</x:v>
      </x:c>
      <x:c r="N69" s="8" t="n">
        <x:v>175</x:v>
      </x:c>
      <x:c r="O69" s="8" t="n">
        <x:v>250.5673370361328</x:v>
      </x:c>
      <x:c r="P69" s="10" t="n">
        <x:f>O69-N69</x:f>
        <x:v>75.56733703613281</x:v>
      </x:c>
      <x:c r="Q69" s="8" t="n">
        <x:v>70.670654296875</x:v>
      </x:c>
    </x:row>
    <x:row r="70">
      <x:c r="A70" s="8" t="n">
        <x:v>-16</x:v>
      </x:c>
      <x:c r="B70" s="8" t="str">
        <x:v>R19</x:v>
      </x:c>
      <x:c r="C70" s="8" t="n">
        <x:v>3.27</x:v>
      </x:c>
      <x:c r="D70" s="8" t="n">
        <x:v>3.7208359241485596</x:v>
      </x:c>
      <x:c r="E70" s="10" t="n">
        <x:f>D70-C70</x:f>
        <x:v>0.45083592414855955</x:v>
      </x:c>
      <x:c r="F70" s="8" t="n">
        <x:v>3.37</x:v>
      </x:c>
      <x:c r="G70" s="8" t="n">
        <x:v>3.79137921333313</x:v>
      </x:c>
      <x:c r="H70" s="10" t="n">
        <x:f>G70-F70</x:f>
        <x:v>0.4213792133331298</x:v>
      </x:c>
      <x:c r="I70" s="8" t="n">
        <x:v>1</x:v>
      </x:c>
      <x:c r="J70" s="8" t="n">
        <x:v>-0.5928527116775513</x:v>
      </x:c>
      <x:c r="K70" s="10" t="n">
        <x:f>J70-I70</x:f>
        <x:v>-1.5928527116775513</x:v>
      </x:c>
      <x:c r="L70" s="8" t="n">
        <x:v>-1.6988581977414954</x:v>
      </x:c>
      <x:c r="M70" s="10" t="n">
        <x:f>J70-L70</x:f>
        <x:v>1.106005486063944</x:v>
      </x:c>
      <x:c r="N70" s="8" t="n">
        <x:v>168</x:v>
      </x:c>
      <x:c r="O70" s="8" t="n">
        <x:v>257.1179504394531</x:v>
      </x:c>
      <x:c r="P70" s="10" t="n">
        <x:f>O70-N70</x:f>
        <x:v>89.11795043945312</x:v>
      </x:c>
      <x:c r="Q70" s="8" t="n">
        <x:v>70.65365600585938</x:v>
      </x:c>
    </x:row>
    <x:row r="71">
      <x:c r="A71" s="8" t="n">
        <x:v>-16</x:v>
      </x:c>
      <x:c r="B71" s="8" t="str">
        <x:v>R20</x:v>
      </x:c>
      <x:c r="C71" s="8" t="n">
        <x:v>3.43</x:v>
      </x:c>
      <x:c r="D71" s="8" t="n">
        <x:v>3.789076566696167</x:v>
      </x:c>
      <x:c r="E71" s="10" t="n">
        <x:f>D71-C71</x:f>
        <x:v>0.35907656669616683</x:v>
      </x:c>
      <x:c r="F71" s="8" t="n">
        <x:v>3.33</x:v>
      </x:c>
      <x:c r="G71" s="8" t="n">
        <x:v>3.7868106365203857</x:v>
      </x:c>
      <x:c r="H71" s="10" t="n">
        <x:f>G71-F71</x:f>
        <x:v>0.45681063652038567</x:v>
      </x:c>
      <x:c r="I71" s="8" t="n">
        <x:v>0.2</x:v>
      </x:c>
      <x:c r="J71" s="8" t="n">
        <x:v>-0.6640162467956543</x:v>
      </x:c>
      <x:c r="K71" s="10" t="n">
        <x:f>J71-I71</x:f>
        <x:v>-0.8640162467956543</x:v>
      </x:c>
      <x:c r="L71" s="8" t="n">
        <x:v>-0.8533102224582977</x:v>
      </x:c>
      <x:c r="M71" s="10" t="n">
        <x:f>J71-L71</x:f>
        <x:v>0.1892939756626434</x:v>
      </x:c>
      <x:c r="N71" s="8" t="n">
        <x:v>182</x:v>
      </x:c>
      <x:c r="O71" s="8" t="n">
        <x:v>263.13543701171875</x:v>
      </x:c>
      <x:c r="P71" s="10" t="n">
        <x:f>O71-N71</x:f>
        <x:v>81.13543701171875</x:v>
      </x:c>
      <x:c r="Q71" s="8" t="n">
        <x:v>70.21514892578125</x:v>
      </x:c>
    </x:row>
    <x:row r="72">
      <x:c r="A72" s="8" t="n">
        <x:v>-16</x:v>
      </x:c>
      <x:c r="B72" s="8" t="str">
        <x:v>R21</x:v>
      </x:c>
      <x:c r="C72" s="8" t="n">
        <x:v>3.47</x:v>
      </x:c>
      <x:c r="D72" s="8" t="n">
        <x:v>3.8122658729553223</x:v>
      </x:c>
      <x:c r="E72" s="10" t="n">
        <x:f>D72-C72</x:f>
        <x:v>0.34226587295532207</x:v>
      </x:c>
      <x:c r="F72" s="8" t="n">
        <x:v>3.26</x:v>
      </x:c>
      <x:c r="G72" s="8" t="n">
        <x:v>3.811249017715454</x:v>
      </x:c>
      <x:c r="H72" s="10" t="n">
        <x:f>G72-F72</x:f>
        <x:v>0.5512490177154543</x:v>
      </x:c>
      <x:c r="I72" s="8" t="n">
        <x:v>-0.4</x:v>
      </x:c>
      <x:c r="J72" s="8" t="n">
        <x:v>-1.3035883903503418</x:v>
      </x:c>
      <x:c r="K72" s="10" t="n">
        <x:f>J72-I72</x:f>
        <x:v>-0.9035883903503418</x:v>
      </x:c>
      <x:c r="L72" s="8" t="n">
        <x:v>-1.601205693071734</x:v>
      </x:c>
      <x:c r="M72" s="10" t="n">
        <x:f>J72-L72</x:f>
        <x:v>0.2976173027213922</x:v>
      </x:c>
      <x:c r="N72" s="8" t="n">
        <x:v>195</x:v>
      </x:c>
      <x:c r="O72" s="8" t="n">
        <x:v>281.9228515625</x:v>
      </x:c>
      <x:c r="P72" s="10" t="n">
        <x:f>O72-N72</x:f>
        <x:v>86.9228515625</x:v>
      </x:c>
      <x:c r="Q72" s="8" t="n">
        <x:v>70.24644470214844</x:v>
      </x:c>
    </x:row>
    <x:row r="73">
      <x:c r="A73" s="8" t="n">
        <x:v>-16</x:v>
      </x:c>
      <x:c r="B73" s="8" t="str">
        <x:v>R22</x:v>
      </x:c>
      <x:c r="C73" s="8" t="n">
        <x:v>3.42</x:v>
      </x:c>
      <x:c r="D73" s="8" t="n">
        <x:v>3.67467999458313</x:v>
      </x:c>
      <x:c r="E73" s="10" t="n">
        <x:f>D73-C73</x:f>
        <x:v>0.25467999458312995</x:v>
      </x:c>
      <x:c r="F73" s="8" t="n">
        <x:v>3.31</x:v>
      </x:c>
      <x:c r="G73" s="8" t="n">
        <x:v>3.755615472793579</x:v>
      </x:c>
      <x:c r="H73" s="10" t="n">
        <x:f>G73-F73</x:f>
        <x:v>0.44561547279357905</x:v>
      </x:c>
      <x:c r="I73" s="8" t="n">
        <x:v>0.5</x:v>
      </x:c>
      <x:c r="J73" s="8" t="n">
        <x:v>-1.2556359767913818</x:v>
      </x:c>
      <x:c r="K73" s="10" t="n">
        <x:f>J73-I73</x:f>
        <x:v>-1.7556359767913818</x:v>
      </x:c>
      <x:c r="L73" s="8" t="n">
        <x:v>-2.6850219878663943</x:v>
      </x:c>
      <x:c r="M73" s="10" t="n">
        <x:f>J73-L73</x:f>
        <x:v>1.4293860110750125</x:v>
      </x:c>
      <x:c r="N73" s="8" t="n">
        <x:v>182</x:v>
      </x:c>
      <x:c r="O73" s="8" t="n">
        <x:v>272.0718994140625</x:v>
      </x:c>
      <x:c r="P73" s="10" t="n">
        <x:f>O73-N73</x:f>
        <x:v>90.0718994140625</x:v>
      </x:c>
      <x:c r="Q73" s="8" t="n">
        <x:v>70.56562042236328</x:v>
      </x:c>
    </x:row>
    <x:row r="74">
      <x:c r="A74" s="8" t="n">
        <x:v>-16</x:v>
      </x:c>
      <x:c r="B74" s="8" t="str">
        <x:v>R23</x:v>
      </x:c>
      <x:c r="C74" s="8" t="n">
        <x:v>3.42</x:v>
      </x:c>
      <x:c r="D74" s="8" t="n">
        <x:v>3.6552116870880127</x:v>
      </x:c>
      <x:c r="E74" s="10" t="n">
        <x:f>D74-C74</x:f>
        <x:v>0.23521168708801277</x:v>
      </x:c>
      <x:c r="F74" s="8" t="n">
        <x:v>3.3</x:v>
      </x:c>
      <x:c r="G74" s="8" t="n">
        <x:v>3.775395154953003</x:v>
      </x:c>
      <x:c r="H74" s="10" t="n">
        <x:f>G74-F74</x:f>
        <x:v>0.4753951549530031</x:v>
      </x:c>
      <x:c r="I74" s="8" t="n">
        <x:v>0.6</x:v>
      </x:c>
      <x:c r="J74" s="8" t="n">
        <x:v>-1.3529365062713623</x:v>
      </x:c>
      <x:c r="K74" s="10" t="n">
        <x:f>J74-I74</x:f>
        <x:v>-1.9529365062713624</x:v>
      </x:c>
      <x:c r="L74" s="8" t="n">
        <x:v>-1.6036912786331317</x:v>
      </x:c>
      <x:c r="M74" s="10" t="n">
        <x:f>J74-L74</x:f>
        <x:v>0.25075477236176935</x:v>
      </x:c>
      <x:c r="N74" s="8" t="n">
        <x:v>180</x:v>
      </x:c>
      <x:c r="O74" s="8" t="n">
        <x:v>274.5866394042969</x:v>
      </x:c>
      <x:c r="P74" s="10" t="n">
        <x:f>O74-N74</x:f>
        <x:v>94.58663940429688</x:v>
      </x:c>
      <x:c r="Q74" s="8" t="n">
        <x:v>70.5327377319336</x:v>
      </x:c>
    </x:row>
    <x:row r="75">
      <x:c r="A75" s="8" t="n">
        <x:v>-16</x:v>
      </x:c>
      <x:c r="B75" s="8" t="str">
        <x:v>R24</x:v>
      </x:c>
      <x:c r="C75" s="8" t="n">
        <x:v>3.23</x:v>
      </x:c>
      <x:c r="D75" s="8" t="n">
        <x:v>3.8254146575927734</x:v>
      </x:c>
      <x:c r="E75" s="10" t="n">
        <x:f>D75-C75</x:f>
        <x:v>0.5954146575927735</x:v>
      </x:c>
      <x:c r="F75" s="8" t="n">
        <x:v>3.36</x:v>
      </x:c>
      <x:c r="G75" s="8" t="n">
        <x:v>3.805769443511963</x:v>
      </x:c>
      <x:c r="H75" s="10" t="n">
        <x:f>G75-F75</x:f>
        <x:v>0.445769443511963</x:v>
      </x:c>
      <x:c r="I75" s="8" t="n">
        <x:v>-0.1</x:v>
      </x:c>
      <x:c r="J75" s="8" t="n">
        <x:v>-1.5556819438934326</x:v>
      </x:c>
      <x:c r="K75" s="10" t="n">
        <x:f>J75-I75</x:f>
        <x:v>-1.4556819438934325</x:v>
      </x:c>
      <x:c r="L75" s="8" t="n">
        <x:v>-2.625956320724483</x:v>
      </x:c>
      <x:c r="M75" s="10" t="n">
        <x:f>J75-L75</x:f>
        <x:v>1.0702743768310503</x:v>
      </x:c>
      <x:c r="N75" s="8" t="n">
        <x:v>184</x:v>
      </x:c>
      <x:c r="O75" s="8" t="n">
        <x:v>279.8200988769531</x:v>
      </x:c>
      <x:c r="P75" s="10" t="n">
        <x:f>O75-N75</x:f>
        <x:v>95.82009887695312</x:v>
      </x:c>
      <x:c r="Q75" s="8" t="n">
        <x:v>70.24363708496094</x:v>
      </x:c>
    </x:row>
    <x:row r="76">
      <x:c r="A76" s="8" t="n">
        <x:v>-16</x:v>
      </x:c>
      <x:c r="B76" s="8" t="str">
        <x:v>R25</x:v>
      </x:c>
      <x:c r="C76" s="8" t="n">
        <x:v>3.3</x:v>
      </x:c>
      <x:c r="D76" s="8" t="n">
        <x:v>3.7560243606567383</x:v>
      </x:c>
      <x:c r="E76" s="10" t="n">
        <x:f>D76-C76</x:f>
        <x:v>0.45602436065673846</x:v>
      </x:c>
      <x:c r="F76" s="8" t="n">
        <x:v>3.37</x:v>
      </x:c>
      <x:c r="G76" s="8" t="n">
        <x:v>3.8175437450408936</x:v>
      </x:c>
      <x:c r="H76" s="10" t="n">
        <x:f>G76-F76</x:f>
        <x:v>0.44754374504089345</x:v>
      </x:c>
      <x:c r="I76" s="8" t="n">
        <x:v>0.5</x:v>
      </x:c>
      <x:c r="J76" s="8" t="n">
        <x:v>-1.155534267425537</x:v>
      </x:c>
      <x:c r="K76" s="10" t="n">
        <x:f>J76-I76</x:f>
        <x:v>-1.655534267425537</x:v>
      </x:c>
      <x:c r="L76" s="8" t="n">
        <x:v>-1.0338554743133856</x:v>
      </x:c>
      <x:c r="M76" s="10" t="n">
        <x:f>J76-L76</x:f>
        <x:v>-0.12167879311215146</x:v>
      </x:c>
      <x:c r="N76" s="8" t="n">
        <x:v>178</x:v>
      </x:c>
      <x:c r="O76" s="8" t="n">
        <x:v>276.5095520019531</x:v>
      </x:c>
      <x:c r="P76" s="10" t="n">
        <x:f>O76-N76</x:f>
        <x:v>98.50955200195312</x:v>
      </x:c>
      <x:c r="Q76" s="8" t="n">
        <x:v>70.17073059082031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7" hidden="0" customWidth="1"/>
    <x:col min="15" max="15" width="17" hidden="0" customWidth="1"/>
    <x:col min="16" max="16" width="15" hidden="0" customWidth="1"/>
  </x:cols>
  <x:sheetData>
    <x:row r="1" ht="34" customHeight="1">
      <x:c r="A1" s="4" t="str">
        <x:v>Receptor</x:v>
      </x:c>
      <x:c r="B1" s="4" t="str">
        <x:v>ODEON_0</x:v>
      </x:c>
      <x:c r="C1" s="4" t="str">
        <x:v>ODEON_-8</x:v>
      </x:c>
      <x:c r="D1" s="4" t="str">
        <x:v>ODEON_-16</x:v>
      </x:c>
      <x:c r="E1" s="4" t="str">
        <x:v>Mejor_O</x:v>
      </x:c>
      <x:c r="F1" s="4" t="str">
        <x:v>IS_0</x:v>
      </x:c>
      <x:c r="G1" s="4" t="str">
        <x:v>IS_-8</x:v>
      </x:c>
      <x:c r="H1" s="4" t="str">
        <x:v>IS_-16</x:v>
      </x:c>
      <x:c r="I1" s="4" t="str">
        <x:v>Mejor_IS</x:v>
      </x:c>
      <x:c r="J1" s="4" t="str">
        <x:v>Py_0</x:v>
      </x:c>
      <x:c r="K1" s="4" t="str">
        <x:v>Py_-8</x:v>
      </x:c>
      <x:c r="L1" s="4" t="str">
        <x:v>Py_-16</x:v>
      </x:c>
      <x:c r="M1" s="4" t="str">
        <x:v>Mejor_Py</x:v>
      </x:c>
      <x:c r="N1" s="4" t="str">
        <x:v>Acuerdo_O_IS</x:v>
      </x:c>
      <x:c r="O1" s="4" t="str">
        <x:v>Acuerdo_IS_Py</x:v>
      </x:c>
      <x:c r="P1" s="4" t="str">
        <x:v>Acuerdo_3</x:v>
      </x:c>
    </x:row>
    <x:row r="2">
      <x:c r="A2" s="8" t="str">
        <x:v>R01</x:v>
      </x:c>
      <x:c r="B2" s="8" t="n">
        <x:v>-3.4</x:v>
      </x:c>
      <x:c r="C2" s="8" t="n">
        <x:v>-1.9</x:v>
      </x:c>
      <x:c r="D2" s="8" t="n">
        <x:v>0.1</x:v>
      </x:c>
      <x:c r="E2" s="8" t="n">
        <x:f>IF(B2=MAX(B2:D2),0,IF(C2=MAX(B2:D2),-8,-16))</x:f>
        <x:v>-16</x:v>
      </x:c>
      <x:c r="F2" s="8" t="n">
        <x:v>-5.223169803619385</x:v>
      </x:c>
      <x:c r="G2" s="8" t="n">
        <x:v>-3.8196136951446533</x:v>
      </x:c>
      <x:c r="H2" s="8" t="n">
        <x:v>-1.5892003774642944</x:v>
      </x:c>
      <x:c r="I2" s="8" t="n">
        <x:f>IF(F2=MAX(F2:H2),0,IF(G2=MAX(F2:H2),-8,-16))</x:f>
        <x:v>-16</x:v>
      </x:c>
      <x:c r="J2" s="8" t="n">
        <x:v>-7.02395730351927</x:v>
      </x:c>
      <x:c r="K2" s="8" t="n">
        <x:v>-5.774090303045548</x:v>
      </x:c>
      <x:c r="L2" s="8" t="n">
        <x:v>-3.498687534579019</x:v>
      </x:c>
      <x:c r="M2" s="8" t="n">
        <x:f>IF(J2=MAX(J2:L2),0,IF(K2=MAX(J2:L2),-8,-16))</x:f>
        <x:v>-16</x:v>
      </x:c>
      <x:c r="N2" s="8" t="n">
        <x:f>IF(E2=I2,1,0)</x:f>
        <x:v>1</x:v>
      </x:c>
      <x:c r="O2" s="8" t="n">
        <x:f>IF(I2=M2,1,0)</x:f>
        <x:v>1</x:v>
      </x:c>
      <x:c r="P2" s="8" t="n">
        <x:f>IF(AND(E2=I2,I2=M2),1,0)</x:f>
        <x:v>1</x:v>
      </x:c>
    </x:row>
    <x:row r="3">
      <x:c r="A3" s="8" t="str">
        <x:v>R02</x:v>
      </x:c>
      <x:c r="B3" s="8" t="n">
        <x:v>-5.1</x:v>
      </x:c>
      <x:c r="C3" s="8" t="n">
        <x:v>-2.8</x:v>
      </x:c>
      <x:c r="D3" s="8" t="n">
        <x:v>0.5</x:v>
      </x:c>
      <x:c r="E3" s="8" t="n">
        <x:f>IF(B3=MAX(B3:D3),0,IF(C3=MAX(B3:D3),-8,-16))</x:f>
        <x:v>-16</x:v>
      </x:c>
      <x:c r="F3" s="8" t="n">
        <x:v>-7.6647796630859375</x:v>
      </x:c>
      <x:c r="G3" s="8" t="n">
        <x:v>-5.688571929931641</x:v>
      </x:c>
      <x:c r="H3" s="8" t="n">
        <x:v>-1.5641952753067017</x:v>
      </x:c>
      <x:c r="I3" s="8" t="n">
        <x:f>IF(F3=MAX(F3:H3),0,IF(G3=MAX(F3:H3),-8,-16))</x:f>
        <x:v>-16</x:v>
      </x:c>
      <x:c r="J3" s="8" t="n">
        <x:v>-8.723971966046621</x:v>
      </x:c>
      <x:c r="K3" s="8" t="n">
        <x:v>-6.784424808852974</x:v>
      </x:c>
      <x:c r="L3" s="8" t="n">
        <x:v>-3.199142148119897</x:v>
      </x:c>
      <x:c r="M3" s="8" t="n">
        <x:f>IF(J3=MAX(J3:L3),0,IF(K3=MAX(J3:L3),-8,-16))</x:f>
        <x:v>-16</x:v>
      </x:c>
      <x:c r="N3" s="8" t="n">
        <x:f>IF(E3=I3,1,0)</x:f>
        <x:v>1</x:v>
      </x:c>
      <x:c r="O3" s="8" t="n">
        <x:f>IF(I3=M3,1,0)</x:f>
        <x:v>1</x:v>
      </x:c>
      <x:c r="P3" s="8" t="n">
        <x:f>IF(AND(E3=I3,I3=M3),1,0)</x:f>
        <x:v>1</x:v>
      </x:c>
    </x:row>
    <x:row r="4">
      <x:c r="A4" s="8" t="str">
        <x:v>R03</x:v>
      </x:c>
      <x:c r="B4" s="8" t="n">
        <x:v>-5.5</x:v>
      </x:c>
      <x:c r="C4" s="8" t="n">
        <x:v>-3.5</x:v>
      </x:c>
      <x:c r="D4" s="8" t="n">
        <x:v>0.5</x:v>
      </x:c>
      <x:c r="E4" s="8" t="n">
        <x:f>IF(B4=MAX(B4:D4),0,IF(C4=MAX(B4:D4),-8,-16))</x:f>
        <x:v>-16</x:v>
      </x:c>
      <x:c r="F4" s="8" t="n">
        <x:v>-7.689343452453613</x:v>
      </x:c>
      <x:c r="G4" s="8" t="n">
        <x:v>-5.457300186157227</x:v>
      </x:c>
      <x:c r="H4" s="8" t="n">
        <x:v>-0.8812982439994812</x:v>
      </x:c>
      <x:c r="I4" s="8" t="n">
        <x:f>IF(F4=MAX(F4:H4),0,IF(G4=MAX(F4:H4),-8,-16))</x:f>
        <x:v>-16</x:v>
      </x:c>
      <x:c r="J4" s="8" t="n">
        <x:v>-8.594127551054553</x:v>
      </x:c>
      <x:c r="K4" s="8" t="n">
        <x:v>-7.15811654034109</x:v>
      </x:c>
      <x:c r="L4" s="8" t="n">
        <x:v>-3.101829515823934</x:v>
      </x:c>
      <x:c r="M4" s="8" t="n">
        <x:f>IF(J4=MAX(J4:L4),0,IF(K4=MAX(J4:L4),-8,-16))</x:f>
        <x:v>-16</x:v>
      </x:c>
      <x:c r="N4" s="8" t="n">
        <x:f>IF(E4=I4,1,0)</x:f>
        <x:v>1</x:v>
      </x:c>
      <x:c r="O4" s="8" t="n">
        <x:f>IF(I4=M4,1,0)</x:f>
        <x:v>1</x:v>
      </x:c>
      <x:c r="P4" s="8" t="n">
        <x:f>IF(AND(E4=I4,I4=M4),1,0)</x:f>
        <x:v>1</x:v>
      </x:c>
    </x:row>
    <x:row r="5">
      <x:c r="A5" s="8" t="str">
        <x:v>R04</x:v>
      </x:c>
      <x:c r="B5" s="8" t="n">
        <x:v>-4.5</x:v>
      </x:c>
      <x:c r="C5" s="8" t="n">
        <x:v>-2.7</x:v>
      </x:c>
      <x:c r="D5" s="8" t="n">
        <x:v>-0.3</x:v>
      </x:c>
      <x:c r="E5" s="8" t="n">
        <x:f>IF(B5=MAX(B5:D5),0,IF(C5=MAX(B5:D5),-8,-16))</x:f>
        <x:v>-16</x:v>
      </x:c>
      <x:c r="F5" s="8" t="n">
        <x:v>-6.1138200759887695</x:v>
      </x:c>
      <x:c r="G5" s="8" t="n">
        <x:v>-3.9198899269104004</x:v>
      </x:c>
      <x:c r="H5" s="8" t="n">
        <x:v>-1.7260265350341797</x:v>
      </x:c>
      <x:c r="I5" s="8" t="n">
        <x:f>IF(F5=MAX(F5:H5),0,IF(G5=MAX(F5:H5),-8,-16))</x:f>
        <x:v>-16</x:v>
      </x:c>
      <x:c r="J5" s="8" t="n">
        <x:v>-6.847054850200162</x:v>
      </x:c>
      <x:c r="K5" s="8" t="n">
        <x:v>-5.645297030808888</x:v>
      </x:c>
      <x:c r="L5" s="8" t="n">
        <x:v>-3.337296298139863</x:v>
      </x:c>
      <x:c r="M5" s="8" t="n">
        <x:f>IF(J5=MAX(J5:L5),0,IF(K5=MAX(J5:L5),-8,-16))</x:f>
        <x:v>-16</x:v>
      </x:c>
      <x:c r="N5" s="8" t="n">
        <x:f>IF(E5=I5,1,0)</x:f>
        <x:v>1</x:v>
      </x:c>
      <x:c r="O5" s="8" t="n">
        <x:f>IF(I5=M5,1,0)</x:f>
        <x:v>1</x:v>
      </x:c>
      <x:c r="P5" s="8" t="n">
        <x:f>IF(AND(E5=I5,I5=M5),1,0)</x:f>
        <x:v>1</x:v>
      </x:c>
    </x:row>
    <x:row r="6">
      <x:c r="A6" s="8" t="str">
        <x:v>R05</x:v>
      </x:c>
      <x:c r="B6" s="8" t="n">
        <x:v>-3.8</x:v>
      </x:c>
      <x:c r="C6" s="8" t="n">
        <x:v>-2.1</x:v>
      </x:c>
      <x:c r="D6" s="8" t="n">
        <x:v>-0.6</x:v>
      </x:c>
      <x:c r="E6" s="8" t="n">
        <x:f>IF(B6=MAX(B6:D6),0,IF(C6=MAX(B6:D6),-8,-16))</x:f>
        <x:v>-16</x:v>
      </x:c>
      <x:c r="F6" s="8" t="n">
        <x:v>-4.923471927642822</x:v>
      </x:c>
      <x:c r="G6" s="8" t="n">
        <x:v>-3.581019878387451</x:v>
      </x:c>
      <x:c r="H6" s="8" t="n">
        <x:v>-2.0840981006622314</x:v>
      </x:c>
      <x:c r="I6" s="8" t="n">
        <x:f>IF(F6=MAX(F6:H6),0,IF(G6=MAX(F6:H6),-8,-16))</x:f>
        <x:v>-16</x:v>
      </x:c>
      <x:c r="J6" s="8" t="n">
        <x:v>-6.3225566273359775</x:v>
      </x:c>
      <x:c r="K6" s="8" t="n">
        <x:v>-4.755136074056737</x:v>
      </x:c>
      <x:c r="L6" s="8" t="n">
        <x:v>-3.246103452393099</x:v>
      </x:c>
      <x:c r="M6" s="8" t="n">
        <x:f>IF(J6=MAX(J6:L6),0,IF(K6=MAX(J6:L6),-8,-16))</x:f>
        <x:v>-16</x:v>
      </x:c>
      <x:c r="N6" s="8" t="n">
        <x:f>IF(E6=I6,1,0)</x:f>
        <x:v>1</x:v>
      </x:c>
      <x:c r="O6" s="8" t="n">
        <x:f>IF(I6=M6,1,0)</x:f>
        <x:v>1</x:v>
      </x:c>
      <x:c r="P6" s="8" t="n">
        <x:f>IF(AND(E6=I6,I6=M6),1,0)</x:f>
        <x:v>1</x:v>
      </x:c>
    </x:row>
    <x:row r="7">
      <x:c r="A7" s="8" t="str">
        <x:v>R06</x:v>
      </x:c>
      <x:c r="B7" s="8" t="n">
        <x:v>-1.3</x:v>
      </x:c>
      <x:c r="C7" s="8" t="n">
        <x:v>0.1</x:v>
      </x:c>
      <x:c r="D7" s="8" t="n">
        <x:v>1</x:v>
      </x:c>
      <x:c r="E7" s="8" t="n">
        <x:f>IF(B7=MAX(B7:D7),0,IF(C7=MAX(B7:D7),-8,-16))</x:f>
        <x:v>-16</x:v>
      </x:c>
      <x:c r="F7" s="8" t="n">
        <x:v>-2.7814369201660156</x:v>
      </x:c>
      <x:c r="G7" s="8" t="n">
        <x:v>-1.259369134902954</x:v>
      </x:c>
      <x:c r="H7" s="8" t="n">
        <x:v>-0.2981109321117401</x:v>
      </x:c>
      <x:c r="I7" s="8" t="n">
        <x:f>IF(F7=MAX(F7:H7),0,IF(G7=MAX(F7:H7),-8,-16))</x:f>
        <x:v>-16</x:v>
      </x:c>
      <x:c r="J7" s="8" t="n">
        <x:v>-3.612219534747428</x:v>
      </x:c>
      <x:c r="K7" s="8" t="n">
        <x:v>-2.372611681259438</x:v>
      </x:c>
      <x:c r="L7" s="8" t="n">
        <x:v>-1.5889710455791648</x:v>
      </x:c>
      <x:c r="M7" s="8" t="n">
        <x:f>IF(J7=MAX(J7:L7),0,IF(K7=MAX(J7:L7),-8,-16))</x:f>
        <x:v>-16</x:v>
      </x:c>
      <x:c r="N7" s="8" t="n">
        <x:f>IF(E7=I7,1,0)</x:f>
        <x:v>1</x:v>
      </x:c>
      <x:c r="O7" s="8" t="n">
        <x:f>IF(I7=M7,1,0)</x:f>
        <x:v>1</x:v>
      </x:c>
      <x:c r="P7" s="8" t="n">
        <x:f>IF(AND(E7=I7,I7=M7),1,0)</x:f>
        <x:v>1</x:v>
      </x:c>
    </x:row>
    <x:row r="8">
      <x:c r="A8" s="8" t="str">
        <x:v>R07</x:v>
      </x:c>
      <x:c r="B8" s="8" t="n">
        <x:v>-1.4</x:v>
      </x:c>
      <x:c r="C8" s="8" t="n">
        <x:v>0.5</x:v>
      </x:c>
      <x:c r="D8" s="8" t="n">
        <x:v>1.5</x:v>
      </x:c>
      <x:c r="E8" s="8" t="n">
        <x:f>IF(B8=MAX(B8:D8),0,IF(C8=MAX(B8:D8),-8,-16))</x:f>
        <x:v>-16</x:v>
      </x:c>
      <x:c r="F8" s="8" t="n">
        <x:v>-2.438908338546753</x:v>
      </x:c>
      <x:c r="G8" s="8" t="n">
        <x:v>-0.5095223784446716</x:v>
      </x:c>
      <x:c r="H8" s="8" t="n">
        <x:v>0.6906092762947083</x:v>
      </x:c>
      <x:c r="I8" s="8" t="n">
        <x:f>IF(F8=MAX(F8:H8),0,IF(G8=MAX(F8:H8),-8,-16))</x:f>
        <x:v>-16</x:v>
      </x:c>
      <x:c r="J8" s="8" t="n">
        <x:v>-4.049643904056851</x:v>
      </x:c>
      <x:c r="K8" s="8" t="n">
        <x:v>-2.0704306132962422</x:v>
      </x:c>
      <x:c r="L8" s="8" t="n">
        <x:v>-1.0722885326993195</x:v>
      </x:c>
      <x:c r="M8" s="8" t="n">
        <x:f>IF(J8=MAX(J8:L8),0,IF(K8=MAX(J8:L8),-8,-16))</x:f>
        <x:v>-16</x:v>
      </x:c>
      <x:c r="N8" s="8" t="n">
        <x:f>IF(E8=I8,1,0)</x:f>
        <x:v>1</x:v>
      </x:c>
      <x:c r="O8" s="8" t="n">
        <x:f>IF(I8=M8,1,0)</x:f>
        <x:v>1</x:v>
      </x:c>
      <x:c r="P8" s="8" t="n">
        <x:f>IF(AND(E8=I8,I8=M8),1,0)</x:f>
        <x:v>1</x:v>
      </x:c>
    </x:row>
    <x:row r="9">
      <x:c r="A9" s="8" t="str">
        <x:v>R08</x:v>
      </x:c>
      <x:c r="B9" s="8" t="n">
        <x:v>-1.3</x:v>
      </x:c>
      <x:c r="C9" s="8" t="n">
        <x:v>0.6</x:v>
      </x:c>
      <x:c r="D9" s="8" t="n">
        <x:v>1.7</x:v>
      </x:c>
      <x:c r="E9" s="8" t="n">
        <x:f>IF(B9=MAX(B9:D9),0,IF(C9=MAX(B9:D9),-8,-16))</x:f>
        <x:v>-16</x:v>
      </x:c>
      <x:c r="F9" s="8" t="n">
        <x:v>-2.402369499206543</x:v>
      </x:c>
      <x:c r="G9" s="8" t="n">
        <x:v>-0.33188876509666443</x:v>
      </x:c>
      <x:c r="H9" s="8" t="n">
        <x:v>0.8466895818710327</x:v>
      </x:c>
      <x:c r="I9" s="8" t="n">
        <x:f>IF(F9=MAX(F9:H9),0,IF(G9=MAX(F9:H9),-8,-16))</x:f>
        <x:v>-16</x:v>
      </x:c>
      <x:c r="J9" s="8" t="n">
        <x:v>-4.791341260407465</x:v>
      </x:c>
      <x:c r="K9" s="8" t="n">
        <x:v>-2.704353799642844</x:v>
      </x:c>
      <x:c r="L9" s="8" t="n">
        <x:v>-1.3542736090556486</x:v>
      </x:c>
      <x:c r="M9" s="8" t="n">
        <x:f>IF(J9=MAX(J9:L9),0,IF(K9=MAX(J9:L9),-8,-16))</x:f>
        <x:v>-16</x:v>
      </x:c>
      <x:c r="N9" s="8" t="n">
        <x:f>IF(E9=I9,1,0)</x:f>
        <x:v>1</x:v>
      </x:c>
      <x:c r="O9" s="8" t="n">
        <x:f>IF(I9=M9,1,0)</x:f>
        <x:v>1</x:v>
      </x:c>
      <x:c r="P9" s="8" t="n">
        <x:f>IF(AND(E9=I9,I9=M9),1,0)</x:f>
        <x:v>1</x:v>
      </x:c>
    </x:row>
    <x:row r="10">
      <x:c r="A10" s="8" t="str">
        <x:v>R09</x:v>
      </x:c>
      <x:c r="B10" s="8" t="n">
        <x:v>-1</x:v>
      </x:c>
      <x:c r="C10" s="8" t="n">
        <x:v>0.6</x:v>
      </x:c>
      <x:c r="D10" s="8" t="n">
        <x:v>1.3</x:v>
      </x:c>
      <x:c r="E10" s="8" t="n">
        <x:f>IF(B10=MAX(B10:D10),0,IF(C10=MAX(B10:D10),-8,-16))</x:f>
        <x:v>-16</x:v>
      </x:c>
      <x:c r="F10" s="8" t="n">
        <x:v>-2.542029619216919</x:v>
      </x:c>
      <x:c r="G10" s="8" t="n">
        <x:v>-0.8281029462814331</x:v>
      </x:c>
      <x:c r="H10" s="8" t="n">
        <x:v>0.10913223773241043</x:v>
      </x:c>
      <x:c r="I10" s="8" t="n">
        <x:f>IF(F10=MAX(F10:H10),0,IF(G10=MAX(F10:H10),-8,-16))</x:f>
        <x:v>-16</x:v>
      </x:c>
      <x:c r="J10" s="8" t="n">
        <x:v>-4.923924135552481</x:v>
      </x:c>
      <x:c r="K10" s="8" t="n">
        <x:v>-3.077206209247702</x:v>
      </x:c>
      <x:c r="L10" s="8" t="n">
        <x:v>-2.1019673525693494</x:v>
      </x:c>
      <x:c r="M10" s="8" t="n">
        <x:f>IF(J10=MAX(J10:L10),0,IF(K10=MAX(J10:L10),-8,-16))</x:f>
        <x:v>-16</x:v>
      </x:c>
      <x:c r="N10" s="8" t="n">
        <x:f>IF(E10=I10,1,0)</x:f>
        <x:v>1</x:v>
      </x:c>
      <x:c r="O10" s="8" t="n">
        <x:f>IF(I10=M10,1,0)</x:f>
        <x:v>1</x:v>
      </x:c>
      <x:c r="P10" s="8" t="n">
        <x:f>IF(AND(E10=I10,I10=M10),1,0)</x:f>
        <x:v>1</x:v>
      </x:c>
    </x:row>
    <x:row r="11">
      <x:c r="A11" s="8" t="str">
        <x:v>R10</x:v>
      </x:c>
      <x:c r="B11" s="8" t="n">
        <x:v>-2.8</x:v>
      </x:c>
      <x:c r="C11" s="8" t="n">
        <x:v>-1.3</x:v>
      </x:c>
      <x:c r="D11" s="8" t="n">
        <x:v>-0.6</x:v>
      </x:c>
      <x:c r="E11" s="8" t="n">
        <x:f>IF(B11=MAX(B11:D11),0,IF(C11=MAX(B11:D11),-8,-16))</x:f>
        <x:v>-16</x:v>
      </x:c>
      <x:c r="F11" s="8" t="n">
        <x:v>-3.552952766418457</x:v>
      </x:c>
      <x:c r="G11" s="8" t="n">
        <x:v>-1.7416201829910278</x:v>
      </x:c>
      <x:c r="H11" s="8" t="n">
        <x:v>-1.4651621580123901</x:v>
      </x:c>
      <x:c r="I11" s="8" t="n">
        <x:f>IF(F11=MAX(F11:H11),0,IF(G11=MAX(F11:H11),-8,-16))</x:f>
        <x:v>-16</x:v>
      </x:c>
      <x:c r="J11" s="8" t="n">
        <x:v>-5.296527935588127</x:v>
      </x:c>
      <x:c r="K11" s="8" t="n">
        <x:v>-3.9951814014665183</x:v>
      </x:c>
      <x:c r="L11" s="8" t="n">
        <x:v>-3.4922291572648296</x:v>
      </x:c>
      <x:c r="M11" s="8" t="n">
        <x:f>IF(J11=MAX(J11:L11),0,IF(K11=MAX(J11:L11),-8,-16))</x:f>
        <x:v>-16</x:v>
      </x:c>
      <x:c r="N11" s="8" t="n">
        <x:f>IF(E11=I11,1,0)</x:f>
        <x:v>1</x:v>
      </x:c>
      <x:c r="O11" s="8" t="n">
        <x:f>IF(I11=M11,1,0)</x:f>
        <x:v>1</x:v>
      </x:c>
      <x:c r="P11" s="8" t="n">
        <x:f>IF(AND(E11=I11,I11=M11),1,0)</x:f>
        <x:v>1</x:v>
      </x:c>
    </x:row>
    <x:row r="12">
      <x:c r="A12" s="8" t="str">
        <x:v>R11</x:v>
      </x:c>
      <x:c r="B12" s="8" t="n">
        <x:v>0.2</x:v>
      </x:c>
      <x:c r="C12" s="8" t="n">
        <x:v>1.2</x:v>
      </x:c>
      <x:c r="D12" s="8" t="n">
        <x:v>1.3</x:v>
      </x:c>
      <x:c r="E12" s="8" t="n">
        <x:f>IF(B12=MAX(B12:D12),0,IF(C12=MAX(B12:D12),-8,-16))</x:f>
        <x:v>-16</x:v>
      </x:c>
      <x:c r="F12" s="8" t="n">
        <x:v>-1.3129982948303223</x:v>
      </x:c>
      <x:c r="G12" s="8" t="n">
        <x:v>-0.3716680109500885</x:v>
      </x:c>
      <x:c r="H12" s="8" t="n">
        <x:v>-0.08740450441837311</x:v>
      </x:c>
      <x:c r="I12" s="8" t="n">
        <x:f>IF(F12=MAX(F12:H12),0,IF(G12=MAX(F12:H12),-8,-16))</x:f>
        <x:v>-16</x:v>
      </x:c>
      <x:c r="J12" s="8" t="n">
        <x:v>-2.998411707502796</x:v>
      </x:c>
      <x:c r="K12" s="8" t="n">
        <x:v>-1.7248535871001922</x:v>
      </x:c>
      <x:c r="L12" s="8" t="n">
        <x:v>-0.9803848194932492</x:v>
      </x:c>
      <x:c r="M12" s="8" t="n">
        <x:f>IF(J12=MAX(J12:L12),0,IF(K12=MAX(J12:L12),-8,-16))</x:f>
        <x:v>-16</x:v>
      </x:c>
      <x:c r="N12" s="8" t="n">
        <x:f>IF(E12=I12,1,0)</x:f>
        <x:v>1</x:v>
      </x:c>
      <x:c r="O12" s="8" t="n">
        <x:f>IF(I12=M12,1,0)</x:f>
        <x:v>1</x:v>
      </x:c>
      <x:c r="P12" s="8" t="n">
        <x:f>IF(AND(E12=I12,I12=M12),1,0)</x:f>
        <x:v>1</x:v>
      </x:c>
    </x:row>
    <x:row r="13">
      <x:c r="A13" s="8" t="str">
        <x:v>R12</x:v>
      </x:c>
      <x:c r="B13" s="8" t="n">
        <x:v>0</x:v>
      </x:c>
      <x:c r="C13" s="8" t="n">
        <x:v>1.4</x:v>
      </x:c>
      <x:c r="D13" s="8" t="n">
        <x:v>1.5</x:v>
      </x:c>
      <x:c r="E13" s="8" t="n">
        <x:f>IF(B13=MAX(B13:D13),0,IF(C13=MAX(B13:D13),-8,-16))</x:f>
        <x:v>-16</x:v>
      </x:c>
      <x:c r="F13" s="8" t="n">
        <x:v>-1.3641085624694824</x:v>
      </x:c>
      <x:c r="G13" s="8" t="n">
        <x:v>0.15381598472595215</x:v>
      </x:c>
      <x:c r="H13" s="8" t="n">
        <x:v>0.022096902132034302</x:v>
      </x:c>
      <x:c r="I13" s="8" t="n">
        <x:f>IF(F13=MAX(F13:H13),0,IF(G13=MAX(F13:H13),-8,-16))</x:f>
        <x:v>-8</x:v>
      </x:c>
      <x:c r="J13" s="8" t="n">
        <x:v>-3.301724368055053</x:v>
      </x:c>
      <x:c r="K13" s="8" t="n">
        <x:v>-2.1197315127082152</x:v>
      </x:c>
      <x:c r="L13" s="8" t="n">
        <x:v>-1.884771667271644</x:v>
      </x:c>
      <x:c r="M13" s="8" t="n">
        <x:f>IF(J13=MAX(J13:L13),0,IF(K13=MAX(J13:L13),-8,-16))</x:f>
        <x:v>-16</x:v>
      </x:c>
      <x:c r="N13" s="8" t="n">
        <x:f>IF(E13=I13,1,0)</x:f>
        <x:v>0</x:v>
      </x:c>
      <x:c r="O13" s="8" t="n">
        <x:f>IF(I13=M13,1,0)</x:f>
        <x:v>0</x:v>
      </x:c>
      <x:c r="P13" s="8" t="n">
        <x:f>IF(AND(E13=I13,I13=M13),1,0)</x:f>
        <x:v>0</x:v>
      </x:c>
    </x:row>
    <x:row r="14">
      <x:c r="A14" s="8" t="str">
        <x:v>R13</x:v>
      </x:c>
      <x:c r="B14" s="8" t="n">
        <x:v>0</x:v>
      </x:c>
      <x:c r="C14" s="8" t="n">
        <x:v>1.6</x:v>
      </x:c>
      <x:c r="D14" s="8" t="n">
        <x:v>1.6</x:v>
      </x:c>
      <x:c r="E14" s="8" t="n">
        <x:f>IF(B14=MAX(B14:D14),0,IF(C14=MAX(B14:D14),-8,-16))</x:f>
        <x:v>-8</x:v>
      </x:c>
      <x:c r="F14" s="8" t="n">
        <x:v>-1.3873932361602783</x:v>
      </x:c>
      <x:c r="G14" s="8" t="n">
        <x:v>0.12758290767669678</x:v>
      </x:c>
      <x:c r="H14" s="8" t="n">
        <x:v>0.05431150645017624</x:v>
      </x:c>
      <x:c r="I14" s="8" t="n">
        <x:f>IF(F14=MAX(F14:H14),0,IF(G14=MAX(F14:H14),-8,-16))</x:f>
        <x:v>-8</x:v>
      </x:c>
      <x:c r="J14" s="8" t="n">
        <x:v>-3.039587411084235</x:v>
      </x:c>
      <x:c r="K14" s="8" t="n">
        <x:v>-1.7139137332285683</x:v>
      </x:c>
      <x:c r="L14" s="8" t="n">
        <x:v>-1.6202024204384382</x:v>
      </x:c>
      <x:c r="M14" s="8" t="n">
        <x:f>IF(J14=MAX(J14:L14),0,IF(K14=MAX(J14:L14),-8,-16))</x:f>
        <x:v>-16</x:v>
      </x:c>
      <x:c r="N14" s="8" t="n">
        <x:f>IF(E14=I14,1,0)</x:f>
        <x:v>1</x:v>
      </x:c>
      <x:c r="O14" s="8" t="n">
        <x:f>IF(I14=M14,1,0)</x:f>
        <x:v>0</x:v>
      </x:c>
      <x:c r="P14" s="8" t="n">
        <x:f>IF(AND(E14=I14,I14=M14),1,0)</x:f>
        <x:v>0</x:v>
      </x:c>
    </x:row>
    <x:row r="15">
      <x:c r="A15" s="8" t="str">
        <x:v>R14</x:v>
      </x:c>
      <x:c r="B15" s="8" t="n">
        <x:v>0.3</x:v>
      </x:c>
      <x:c r="C15" s="8" t="n">
        <x:v>1.5</x:v>
      </x:c>
      <x:c r="D15" s="8" t="n">
        <x:v>1.4</x:v>
      </x:c>
      <x:c r="E15" s="8" t="n">
        <x:f>IF(B15=MAX(B15:D15),0,IF(C15=MAX(B15:D15),-8,-16))</x:f>
        <x:v>-8</x:v>
      </x:c>
      <x:c r="F15" s="8" t="n">
        <x:v>-1.0671992301940918</x:v>
      </x:c>
      <x:c r="G15" s="8" t="n">
        <x:v>-0.2316773682832718</x:v>
      </x:c>
      <x:c r="H15" s="8" t="n">
        <x:v>-0.16575095057487488</x:v>
      </x:c>
      <x:c r="I15" s="8" t="n">
        <x:f>IF(F15=MAX(F15:H15),0,IF(G15=MAX(F15:H15),-8,-16))</x:f>
        <x:v>-16</x:v>
      </x:c>
      <x:c r="J15" s="8" t="n">
        <x:v>-2.01178477333078</x:v>
      </x:c>
      <x:c r="K15" s="8" t="n">
        <x:v>-1.3148660681366184</x:v>
      </x:c>
      <x:c r="L15" s="8" t="n">
        <x:v>-1.59226476322939</x:v>
      </x:c>
      <x:c r="M15" s="8" t="n">
        <x:f>IF(J15=MAX(J15:L15),0,IF(K15=MAX(J15:L15),-8,-16))</x:f>
        <x:v>-8</x:v>
      </x:c>
      <x:c r="N15" s="8" t="n">
        <x:f>IF(E15=I15,1,0)</x:f>
        <x:v>0</x:v>
      </x:c>
      <x:c r="O15" s="8" t="n">
        <x:f>IF(I15=M15,1,0)</x:f>
        <x:v>0</x:v>
      </x:c>
      <x:c r="P15" s="8" t="n">
        <x:f>IF(AND(E15=I15,I15=M15),1,0)</x:f>
        <x:v>0</x:v>
      </x:c>
    </x:row>
    <x:row r="16">
      <x:c r="A16" s="8" t="str">
        <x:v>R15</x:v>
      </x:c>
      <x:c r="B16" s="8" t="n">
        <x:v>-0.8</x:v>
      </x:c>
      <x:c r="C16" s="8" t="n">
        <x:v>0.2</x:v>
      </x:c>
      <x:c r="D16" s="8" t="n">
        <x:v>0.1</x:v>
      </x:c>
      <x:c r="E16" s="8" t="n">
        <x:f>IF(B16=MAX(B16:D16),0,IF(C16=MAX(B16:D16),-8,-16))</x:f>
        <x:v>-8</x:v>
      </x:c>
      <x:c r="F16" s="8" t="n">
        <x:v>-2.0252461433410645</x:v>
      </x:c>
      <x:c r="G16" s="8" t="n">
        <x:v>-1.003124475479126</x:v>
      </x:c>
      <x:c r="H16" s="8" t="n">
        <x:v>-0.9636377096176147</x:v>
      </x:c>
      <x:c r="I16" s="8" t="n">
        <x:f>IF(F16=MAX(F16:H16),0,IF(G16=MAX(F16:H16),-8,-16))</x:f>
        <x:v>-16</x:v>
      </x:c>
      <x:c r="J16" s="8" t="n">
        <x:v>-2.7405598077578723</x:v>
      </x:c>
      <x:c r="K16" s="8" t="n">
        <x:v>-1.732405789676073</x:v>
      </x:c>
      <x:c r="L16" s="8" t="n">
        <x:v>-1.393498528630487</x:v>
      </x:c>
      <x:c r="M16" s="8" t="n">
        <x:f>IF(J16=MAX(J16:L16),0,IF(K16=MAX(J16:L16),-8,-16))</x:f>
        <x:v>-16</x:v>
      </x:c>
      <x:c r="N16" s="8" t="n">
        <x:f>IF(E16=I16,1,0)</x:f>
        <x:v>0</x:v>
      </x:c>
      <x:c r="O16" s="8" t="n">
        <x:f>IF(I16=M16,1,0)</x:f>
        <x:v>1</x:v>
      </x:c>
      <x:c r="P16" s="8" t="n">
        <x:f>IF(AND(E16=I16,I16=M16),1,0)</x:f>
        <x:v>0</x:v>
      </x:c>
    </x:row>
    <x:row r="17">
      <x:c r="A17" s="8" t="str">
        <x:v>R16</x:v>
      </x:c>
      <x:c r="B17" s="8" t="n">
        <x:v>0</x:v>
      </x:c>
      <x:c r="C17" s="8" t="n">
        <x:v>0.7</x:v>
      </x:c>
      <x:c r="D17" s="8" t="n">
        <x:v>0.1</x:v>
      </x:c>
      <x:c r="E17" s="8" t="n">
        <x:f>IF(B17=MAX(B17:D17),0,IF(C17=MAX(B17:D17),-8,-16))</x:f>
        <x:v>-8</x:v>
      </x:c>
      <x:c r="F17" s="8" t="n">
        <x:v>-1.4315354824066162</x:v>
      </x:c>
      <x:c r="G17" s="8" t="n">
        <x:v>-0.685152530670166</x:v>
      </x:c>
      <x:c r="H17" s="8" t="n">
        <x:v>-1.1362632513046265</x:v>
      </x:c>
      <x:c r="I17" s="8" t="n">
        <x:f>IF(F17=MAX(F17:H17),0,IF(G17=MAX(F17:H17),-8,-16))</x:f>
        <x:v>-8</x:v>
      </x:c>
      <x:c r="J17" s="8" t="n">
        <x:v>-2.914050248685829</x:v>
      </x:c>
      <x:c r="K17" s="8" t="n">
        <x:v>-2.0502873382448863</x:v>
      </x:c>
      <x:c r="L17" s="8" t="n">
        <x:v>-2.2618676415478185</x:v>
      </x:c>
      <x:c r="M17" s="8" t="n">
        <x:f>IF(J17=MAX(J17:L17),0,IF(K17=MAX(J17:L17),-8,-16))</x:f>
        <x:v>-8</x:v>
      </x:c>
      <x:c r="N17" s="8" t="n">
        <x:f>IF(E17=I17,1,0)</x:f>
        <x:v>1</x:v>
      </x:c>
      <x:c r="O17" s="8" t="n">
        <x:f>IF(I17=M17,1,0)</x:f>
        <x:v>1</x:v>
      </x:c>
      <x:c r="P17" s="8" t="n">
        <x:f>IF(AND(E17=I17,I17=M17),1,0)</x:f>
        <x:v>1</x:v>
      </x:c>
    </x:row>
    <x:row r="18">
      <x:c r="A18" s="8" t="str">
        <x:v>R17</x:v>
      </x:c>
      <x:c r="B18" s="8" t="n">
        <x:v>0.5</x:v>
      </x:c>
      <x:c r="C18" s="8" t="n">
        <x:v>1.3</x:v>
      </x:c>
      <x:c r="D18" s="8" t="n">
        <x:v>0.8</x:v>
      </x:c>
      <x:c r="E18" s="8" t="n">
        <x:f>IF(B18=MAX(B18:D18),0,IF(C18=MAX(B18:D18),-8,-16))</x:f>
        <x:v>-8</x:v>
      </x:c>
      <x:c r="F18" s="8" t="n">
        <x:v>-0.9833279252052307</x:v>
      </x:c>
      <x:c r="G18" s="8" t="n">
        <x:v>-0.21460804343223572</x:v>
      </x:c>
      <x:c r="H18" s="8" t="n">
        <x:v>-0.3470905125141144</x:v>
      </x:c>
      <x:c r="I18" s="8" t="n">
        <x:f>IF(F18=MAX(F18:H18),0,IF(G18=MAX(F18:H18),-8,-16))</x:f>
        <x:v>-8</x:v>
      </x:c>
      <x:c r="J18" s="8" t="n">
        <x:v>-1.9856556115083859</x:v>
      </x:c>
      <x:c r="K18" s="8" t="n">
        <x:v>-1.055281833806704</x:v>
      </x:c>
      <x:c r="L18" s="8" t="n">
        <x:v>-1.022879419679668</x:v>
      </x:c>
      <x:c r="M18" s="8" t="n">
        <x:f>IF(J18=MAX(J18:L18),0,IF(K18=MAX(J18:L18),-8,-16))</x:f>
        <x:v>-16</x:v>
      </x:c>
      <x:c r="N18" s="8" t="n">
        <x:f>IF(E18=I18,1,0)</x:f>
        <x:v>1</x:v>
      </x:c>
      <x:c r="O18" s="8" t="n">
        <x:f>IF(I18=M18,1,0)</x:f>
        <x:v>0</x:v>
      </x:c>
      <x:c r="P18" s="8" t="n">
        <x:f>IF(AND(E18=I18,I18=M18),1,0)</x:f>
        <x:v>0</x:v>
      </x:c>
    </x:row>
    <x:row r="19">
      <x:c r="A19" s="8" t="str">
        <x:v>R18</x:v>
      </x:c>
      <x:c r="B19" s="8" t="n">
        <x:v>0.5</x:v>
      </x:c>
      <x:c r="C19" s="8" t="n">
        <x:v>1.2</x:v>
      </x:c>
      <x:c r="D19" s="8" t="n">
        <x:v>0.6</x:v>
      </x:c>
      <x:c r="E19" s="8" t="n">
        <x:f>IF(B19=MAX(B19:D19),0,IF(C19=MAX(B19:D19),-8,-16))</x:f>
        <x:v>-8</x:v>
      </x:c>
      <x:c r="F19" s="8" t="n">
        <x:v>-1.0523592233657837</x:v>
      </x:c>
      <x:c r="G19" s="8" t="n">
        <x:v>-0.3842151463031769</x:v>
      </x:c>
      <x:c r="H19" s="8" t="n">
        <x:v>-0.6940773129463196</x:v>
      </x:c>
      <x:c r="I19" s="8" t="n">
        <x:f>IF(F19=MAX(F19:H19),0,IF(G19=MAX(F19:H19),-8,-16))</x:f>
        <x:v>-8</x:v>
      </x:c>
      <x:c r="J19" s="8" t="n">
        <x:v>-2.258627620081255</x:v>
      </x:c>
      <x:c r="K19" s="8" t="n">
        <x:v>-1.3839267265184199</x:v>
      </x:c>
      <x:c r="L19" s="8" t="n">
        <x:v>-1.120055433652301</x:v>
      </x:c>
      <x:c r="M19" s="8" t="n">
        <x:f>IF(J19=MAX(J19:L19),0,IF(K19=MAX(J19:L19),-8,-16))</x:f>
        <x:v>-16</x:v>
      </x:c>
      <x:c r="N19" s="8" t="n">
        <x:f>IF(E19=I19,1,0)</x:f>
        <x:v>1</x:v>
      </x:c>
      <x:c r="O19" s="8" t="n">
        <x:f>IF(I19=M19,1,0)</x:f>
        <x:v>0</x:v>
      </x:c>
      <x:c r="P19" s="8" t="n">
        <x:f>IF(AND(E19=I19,I19=M19),1,0)</x:f>
        <x:v>0</x:v>
      </x:c>
    </x:row>
    <x:row r="20">
      <x:c r="A20" s="8" t="str">
        <x:v>R19</x:v>
      </x:c>
      <x:c r="B20" s="8" t="n">
        <x:v>0.6</x:v>
      </x:c>
      <x:c r="C20" s="8" t="n">
        <x:v>1.4</x:v>
      </x:c>
      <x:c r="D20" s="8" t="n">
        <x:v>1</x:v>
      </x:c>
      <x:c r="E20" s="8" t="n">
        <x:f>IF(B20=MAX(B20:D20),0,IF(C20=MAX(B20:D20),-8,-16))</x:f>
        <x:v>-8</x:v>
      </x:c>
      <x:c r="F20" s="8" t="n">
        <x:v>-1.1717238426208496</x:v>
      </x:c>
      <x:c r="G20" s="8" t="n">
        <x:v>-0.2642223834991455</x:v>
      </x:c>
      <x:c r="H20" s="8" t="n">
        <x:v>-0.5928527116775513</x:v>
      </x:c>
      <x:c r="I20" s="8" t="n">
        <x:f>IF(F20=MAX(F20:H20),0,IF(G20=MAX(F20:H20),-8,-16))</x:f>
        <x:v>-8</x:v>
      </x:c>
      <x:c r="J20" s="8" t="n">
        <x:v>-1.9398489941075268</x:v>
      </x:c>
      <x:c r="K20" s="8" t="n">
        <x:v>-1.4039409274232082</x:v>
      </x:c>
      <x:c r="L20" s="8" t="n">
        <x:v>-1.6988581977414954</x:v>
      </x:c>
      <x:c r="M20" s="8" t="n">
        <x:f>IF(J20=MAX(J20:L20),0,IF(K20=MAX(J20:L20),-8,-16))</x:f>
        <x:v>-8</x:v>
      </x:c>
      <x:c r="N20" s="8" t="n">
        <x:f>IF(E20=I20,1,0)</x:f>
        <x:v>1</x:v>
      </x:c>
      <x:c r="O20" s="8" t="n">
        <x:f>IF(I20=M20,1,0)</x:f>
        <x:v>1</x:v>
      </x:c>
      <x:c r="P20" s="8" t="n">
        <x:f>IF(AND(E20=I20,I20=M20),1,0)</x:f>
        <x:v>1</x:v>
      </x:c>
    </x:row>
    <x:row r="21">
      <x:c r="A21" s="8" t="str">
        <x:v>R20</x:v>
      </x:c>
      <x:c r="B21" s="8" t="n">
        <x:v>0.3</x:v>
      </x:c>
      <x:c r="C21" s="8" t="n">
        <x:v>0.9</x:v>
      </x:c>
      <x:c r="D21" s="8" t="n">
        <x:v>0.2</x:v>
      </x:c>
      <x:c r="E21" s="8" t="n">
        <x:f>IF(B21=MAX(B21:D21),0,IF(C21=MAX(B21:D21),-8,-16))</x:f>
        <x:v>-8</x:v>
      </x:c>
      <x:c r="F21" s="8" t="n">
        <x:v>-1.1452032327651978</x:v>
      </x:c>
      <x:c r="G21" s="8" t="n">
        <x:v>-0.30029040575027466</x:v>
      </x:c>
      <x:c r="H21" s="8" t="n">
        <x:v>-0.6640162467956543</x:v>
      </x:c>
      <x:c r="I21" s="8" t="n">
        <x:f>IF(F21=MAX(F21:H21),0,IF(G21=MAX(F21:H21),-8,-16))</x:f>
        <x:v>-8</x:v>
      </x:c>
      <x:c r="J21" s="8" t="n">
        <x:v>-1.178195127340029</x:v>
      </x:c>
      <x:c r="K21" s="8" t="n">
        <x:v>-0.32837380507959524</x:v>
      </x:c>
      <x:c r="L21" s="8" t="n">
        <x:v>-0.8533102224582977</x:v>
      </x:c>
      <x:c r="M21" s="8" t="n">
        <x:f>IF(J21=MAX(J21:L21),0,IF(K21=MAX(J21:L21),-8,-16))</x:f>
        <x:v>-8</x:v>
      </x:c>
      <x:c r="N21" s="8" t="n">
        <x:f>IF(E21=I21,1,0)</x:f>
        <x:v>1</x:v>
      </x:c>
      <x:c r="O21" s="8" t="n">
        <x:f>IF(I21=M21,1,0)</x:f>
        <x:v>1</x:v>
      </x:c>
      <x:c r="P21" s="8" t="n">
        <x:f>IF(AND(E21=I21,I21=M21),1,0)</x:f>
        <x:v>1</x:v>
      </x:c>
    </x:row>
    <x:row r="22">
      <x:c r="A22" s="8" t="str">
        <x:v>R21</x:v>
      </x:c>
      <x:c r="B22" s="8" t="n">
        <x:v>0.5</x:v>
      </x:c>
      <x:c r="C22" s="8" t="n">
        <x:v>0.6</x:v>
      </x:c>
      <x:c r="D22" s="8" t="n">
        <x:v>-0.4</x:v>
      </x:c>
      <x:c r="E22" s="8" t="n">
        <x:f>IF(B22=MAX(B22:D22),0,IF(C22=MAX(B22:D22),-8,-16))</x:f>
        <x:v>-8</x:v>
      </x:c>
      <x:c r="F22" s="8" t="n">
        <x:v>-1.2648088932037354</x:v>
      </x:c>
      <x:c r="G22" s="8" t="n">
        <x:v>-0.9432291984558105</x:v>
      </x:c>
      <x:c r="H22" s="8" t="n">
        <x:v>-1.3035883903503418</x:v>
      </x:c>
      <x:c r="I22" s="8" t="n">
        <x:f>IF(F22=MAX(F22:H22),0,IF(G22=MAX(F22:H22),-8,-16))</x:f>
        <x:v>-8</x:v>
      </x:c>
      <x:c r="J22" s="8" t="n">
        <x:v>-1.4630523746128545</x:v>
      </x:c>
      <x:c r="K22" s="8" t="n">
        <x:v>-1.1066942510117832</x:v>
      </x:c>
      <x:c r="L22" s="8" t="n">
        <x:v>-1.601205693071734</x:v>
      </x:c>
      <x:c r="M22" s="8" t="n">
        <x:f>IF(J22=MAX(J22:L22),0,IF(K22=MAX(J22:L22),-8,-16))</x:f>
        <x:v>-8</x:v>
      </x:c>
      <x:c r="N22" s="8" t="n">
        <x:f>IF(E22=I22,1,0)</x:f>
        <x:v>1</x:v>
      </x:c>
      <x:c r="O22" s="8" t="n">
        <x:f>IF(I22=M22,1,0)</x:f>
        <x:v>1</x:v>
      </x:c>
      <x:c r="P22" s="8" t="n">
        <x:f>IF(AND(E22=I22,I22=M22),1,0)</x:f>
        <x:v>1</x:v>
      </x:c>
    </x:row>
    <x:row r="23">
      <x:c r="A23" s="8" t="str">
        <x:v>R22</x:v>
      </x:c>
      <x:c r="B23" s="8" t="n">
        <x:v>1.1</x:v>
      </x:c>
      <x:c r="C23" s="8" t="n">
        <x:v>1.4</x:v>
      </x:c>
      <x:c r="D23" s="8" t="n">
        <x:v>0.5</x:v>
      </x:c>
      <x:c r="E23" s="8" t="n">
        <x:f>IF(B23=MAX(B23:D23),0,IF(C23=MAX(B23:D23),-8,-16))</x:f>
        <x:v>-8</x:v>
      </x:c>
      <x:c r="F23" s="8" t="n">
        <x:v>-0.9784293174743652</x:v>
      </x:c>
      <x:c r="G23" s="8" t="n">
        <x:v>-0.3585452139377594</x:v>
      </x:c>
      <x:c r="H23" s="8" t="n">
        <x:v>-1.2556359767913818</x:v>
      </x:c>
      <x:c r="I23" s="8" t="n">
        <x:f>IF(F23=MAX(F23:H23),0,IF(G23=MAX(F23:H23),-8,-16))</x:f>
        <x:v>-8</x:v>
      </x:c>
      <x:c r="J23" s="8" t="n">
        <x:v>-2.4821644731311667</x:v>
      </x:c>
      <x:c r="K23" s="8" t="n">
        <x:v>-2.1904515118849037</x:v>
      </x:c>
      <x:c r="L23" s="8" t="n">
        <x:v>-2.6850219878663943</x:v>
      </x:c>
      <x:c r="M23" s="8" t="n">
        <x:f>IF(J23=MAX(J23:L23),0,IF(K23=MAX(J23:L23),-8,-16))</x:f>
        <x:v>-8</x:v>
      </x:c>
      <x:c r="N23" s="8" t="n">
        <x:f>IF(E23=I23,1,0)</x:f>
        <x:v>1</x:v>
      </x:c>
      <x:c r="O23" s="8" t="n">
        <x:f>IF(I23=M23,1,0)</x:f>
        <x:v>1</x:v>
      </x:c>
      <x:c r="P23" s="8" t="n">
        <x:f>IF(AND(E23=I23,I23=M23),1,0)</x:f>
        <x:v>1</x:v>
      </x:c>
    </x:row>
    <x:row r="24">
      <x:c r="A24" s="8" t="str">
        <x:v>R23</x:v>
      </x:c>
      <x:c r="B24" s="8" t="n">
        <x:v>0.6</x:v>
      </x:c>
      <x:c r="C24" s="8" t="n">
        <x:v>1.1</x:v>
      </x:c>
      <x:c r="D24" s="8" t="n">
        <x:v>0.6</x:v>
      </x:c>
      <x:c r="E24" s="8" t="n">
        <x:f>IF(B24=MAX(B24:D24),0,IF(C24=MAX(B24:D24),-8,-16))</x:f>
        <x:v>-8</x:v>
      </x:c>
      <x:c r="F24" s="8" t="n">
        <x:v>-0.5453116297721863</x:v>
      </x:c>
      <x:c r="G24" s="8" t="n">
        <x:v>-0.47465619444847107</x:v>
      </x:c>
      <x:c r="H24" s="8" t="n">
        <x:v>-1.3529365062713623</x:v>
      </x:c>
      <x:c r="I24" s="8" t="n">
        <x:f>IF(F24=MAX(F24:H24),0,IF(G24=MAX(F24:H24),-8,-16))</x:f>
        <x:v>-8</x:v>
      </x:c>
      <x:c r="J24" s="8" t="n">
        <x:v>-0.8373218578848524</x:v>
      </x:c>
      <x:c r="K24" s="8" t="n">
        <x:v>-0.8346798863040255</x:v>
      </x:c>
      <x:c r="L24" s="8" t="n">
        <x:v>-1.6036912786331317</x:v>
      </x:c>
      <x:c r="M24" s="8" t="n">
        <x:f>IF(J24=MAX(J24:L24),0,IF(K24=MAX(J24:L24),-8,-16))</x:f>
        <x:v>-8</x:v>
      </x:c>
      <x:c r="N24" s="8" t="n">
        <x:f>IF(E24=I24,1,0)</x:f>
        <x:v>1</x:v>
      </x:c>
      <x:c r="O24" s="8" t="n">
        <x:f>IF(I24=M24,1,0)</x:f>
        <x:v>1</x:v>
      </x:c>
      <x:c r="P24" s="8" t="n">
        <x:f>IF(AND(E24=I24,I24=M24),1,0)</x:f>
        <x:v>1</x:v>
      </x:c>
    </x:row>
    <x:row r="25">
      <x:c r="A25" s="8" t="str">
        <x:v>R24</x:v>
      </x:c>
      <x:c r="B25" s="8" t="n">
        <x:v>-0.1</x:v>
      </x:c>
      <x:c r="C25" s="8" t="n">
        <x:v>0.4</x:v>
      </x:c>
      <x:c r="D25" s="8" t="n">
        <x:v>-0.1</x:v>
      </x:c>
      <x:c r="E25" s="8" t="n">
        <x:f>IF(B25=MAX(B25:D25),0,IF(C25=MAX(B25:D25),-8,-16))</x:f>
        <x:v>-8</x:v>
      </x:c>
      <x:c r="F25" s="8" t="n">
        <x:v>-1.2473983764648438</x:v>
      </x:c>
      <x:c r="G25" s="8" t="n">
        <x:v>-0.7539613246917725</x:v>
      </x:c>
      <x:c r="H25" s="8" t="n">
        <x:v>-1.5556819438934326</x:v>
      </x:c>
      <x:c r="I25" s="8" t="n">
        <x:f>IF(F25=MAX(F25:H25),0,IF(G25=MAX(F25:H25),-8,-16))</x:f>
        <x:v>-8</x:v>
      </x:c>
      <x:c r="J25" s="8" t="n">
        <x:v>-2.3030119095536765</x:v>
      </x:c>
      <x:c r="K25" s="8" t="n">
        <x:v>-1.950523570773214</x:v>
      </x:c>
      <x:c r="L25" s="8" t="n">
        <x:v>-2.625956320724483</x:v>
      </x:c>
      <x:c r="M25" s="8" t="n">
        <x:f>IF(J25=MAX(J25:L25),0,IF(K25=MAX(J25:L25),-8,-16))</x:f>
        <x:v>-8</x:v>
      </x:c>
      <x:c r="N25" s="8" t="n">
        <x:f>IF(E25=I25,1,0)</x:f>
        <x:v>1</x:v>
      </x:c>
      <x:c r="O25" s="8" t="n">
        <x:f>IF(I25=M25,1,0)</x:f>
        <x:v>1</x:v>
      </x:c>
      <x:c r="P25" s="8" t="n">
        <x:f>IF(AND(E25=I25,I25=M25),1,0)</x:f>
        <x:v>1</x:v>
      </x:c>
    </x:row>
    <x:row r="26">
      <x:c r="A26" s="8" t="str">
        <x:v>R25</x:v>
      </x:c>
      <x:c r="B26" s="8" t="n">
        <x:v>0.8</x:v>
      </x:c>
      <x:c r="C26" s="8" t="n">
        <x:v>1.2</x:v>
      </x:c>
      <x:c r="D26" s="8" t="n">
        <x:v>0.5</x:v>
      </x:c>
      <x:c r="E26" s="8" t="n">
        <x:f>IF(B26=MAX(B26:D26),0,IF(C26=MAX(B26:D26),-8,-16))</x:f>
        <x:v>-8</x:v>
      </x:c>
      <x:c r="F26" s="8" t="n">
        <x:v>-0.8008330464363098</x:v>
      </x:c>
      <x:c r="G26" s="8" t="n">
        <x:v>-0.4826745390892029</x:v>
      </x:c>
      <x:c r="H26" s="8" t="n">
        <x:v>-1.155534267425537</x:v>
      </x:c>
      <x:c r="I26" s="8" t="n">
        <x:f>IF(F26=MAX(F26:H26),0,IF(G26=MAX(F26:H26),-8,-16))</x:f>
        <x:v>-8</x:v>
      </x:c>
      <x:c r="J26" s="8" t="n">
        <x:v>-0.7639738360033204</x:v>
      </x:c>
      <x:c r="K26" s="8" t="n">
        <x:v>-0.4083518838008549</x:v>
      </x:c>
      <x:c r="L26" s="8" t="n">
        <x:v>-1.0338554743133856</x:v>
      </x:c>
      <x:c r="M26" s="8" t="n">
        <x:f>IF(J26=MAX(J26:L26),0,IF(K26=MAX(J26:L26),-8,-16))</x:f>
        <x:v>-8</x:v>
      </x:c>
      <x:c r="N26" s="8" t="n">
        <x:f>IF(E26=I26,1,0)</x:f>
        <x:v>1</x:v>
      </x:c>
      <x:c r="O26" s="8" t="n">
        <x:f>IF(I26=M26,1,0)</x:f>
        <x:v>1</x:v>
      </x:c>
      <x:c r="P26" s="8" t="n">
        <x:f>IF(AND(E26=I26,I26=M26),1,0)</x:f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8" hidden="0" customWidth="1"/>
  </x:cols>
  <x:sheetData>
    <x:row r="1" ht="28" customHeight="1">
      <x:c r="A1" s="3" t="str">
        <x:v>Variável</x:v>
      </x:c>
      <x:c r="B1" s="3" t="str">
        <x:v>Configuração / observação</x:v>
      </x:c>
    </x:row>
    <x:row r="2">
      <x:c r="A2" t="str">
        <x:v>Geometria</x:v>
      </x:c>
      <x:c r="B2" t="str">
        <x:v>Auditorio ODEON Example.par, piso do público com inclinação de 16%</x:v>
      </x:c>
    </x:row>
    <x:row r="3">
      <x:c r="A3" t="str">
        <x:v>Fonte</x:v>
      </x:c>
      <x:c r="B3" t="str">
        <x:v>Bosch LA1_UW24.CF2; posição (3,0,4) m</x:v>
      </x:c>
    </x:row>
    <x:row r="4">
      <x:c r="A4" t="str">
        <x:v>Orientações</x:v>
      </x:c>
      <x:c r="B4" t="str">
        <x:v>0°; −8°; −16° confirmados no config.xml de I-Simpa (u, v, w)</x:v>
      </x:c>
    </x:row>
    <x:row r="5">
      <x:c r="A5" t="str">
        <x:v>ODEON</x:v>
      </x:c>
      <x:c r="B5" t="str">
        <x:v>19.12 Combined, arquivos texto exportados; 25 receptores cada; ganho adicional 0 dB, informado pelo usuário</x:v>
      </x:c>
    </x:row>
    <x:row r="6">
      <x:c r="A6" t="str">
        <x:v>I-Simpa</x:v>
      </x:c>
      <x:c r="B6" t="str">
        <x:v>1.3.4; SPPS Energetic; 500.000 partículas; seed=123; 8 s; radius 0.31 m</x:v>
      </x:c>
    </x:row>
    <x:row r="7">
      <x:c r="A7" t="str">
        <x:v>Frequências I-Simpa</x:v>
      </x:c>
      <x:c r="B7" t="str">
        <x:v>800, 1000, 1250 Hz, valores Global de cada parâmetro no arquivo .gabe</x:v>
      </x:c>
    </x:row>
    <x:row r="8">
      <x:c r="A8" t="str">
        <x:v>Frequência ODEON</x:v>
      </x:c>
      <x:c r="B8" t="str">
        <x:v>Banda de oitava 1000 Hz</x:v>
      </x:c>
    </x:row>
    <x:row r="9">
      <x:c r="A9" t="str">
        <x:v>Potência I-Simpa</x:v>
      </x:c>
      <x:c r="B9" t="str">
        <x:v>Lw global 107.20 dB; 91.1707 dB cada tercio 800,1000,1250 Hz</x:v>
      </x:c>
    </x:row>
    <x:row r="10">
      <x:c r="A10" t="str">
        <x:v>Potência ODEON</x:v>
      </x:c>
      <x:c r="B10" t="str">
        <x:v>Espectro nominal CF2, gain/octave 0 dB conforme informação do usuário</x:v>
      </x:c>
    </x:row>
    <x:row r="11">
      <x:c r="A11" t="str">
        <x:v>Compatibilidade potência</x:v>
      </x:c>
      <x:c r="B11" t="str">
        <x:v>Espectro I-Simpa dos terços é aproximação do espectro por oitavas do CF2, não valores medidos originais por terço</x:v>
      </x:c>
    </x:row>
    <x:row r="12">
      <x:c r="A12" t="str">
        <x:v>Geometria e Balloon</x:v>
      </x:c>
      <x:c r="B12" t="str">
        <x:v>Hashes da malha mesh.cbin e EASE txt idênticos nos três ZIPs SPPS</x:v>
      </x:c>
    </x:row>
    <x:row r="13">
      <x:c r="A13" t="str">
        <x:v>Scattering</x:v>
      </x:c>
      <x:c r="B13" t="str">
        <x:v>Não foram harmonizadas/validadas todas as configurações entre motores</x:v>
      </x:c>
    </x:row>
    <x:row r="14">
      <x:c r="A14" t="str">
        <x:v>Absorção do ar SPPS</x:v>
      </x:c>
      <x:c r="B14" t="str">
        <x:v>Desligada (abs_atmo_calc=0)</x:v>
      </x:c>
    </x:row>
    <x:row r="15">
      <x:c r="A15" t="str">
        <x:v>STI</x:v>
      </x:c>
      <x:c r="B15" t="str">
        <x:v>Relatado apenas por ODEON, não comparável com ST (dB) do SPPS</x:v>
      </x:c>
    </x:row>
    <x:row r="16">
      <x:c r="A16" t="str">
        <x:v>Ts</x:v>
      </x:c>
      <x:c r="B16" t="str">
        <x:v>ODEON em ms; I-Simpa Global em ms</x:v>
      </x:c>
    </x:row>
    <x:row r="17">
      <x:c r="A17" t="str">
        <x:v>D50</x:v>
      </x:c>
      <x:c r="B17" t="str">
        <x:v>Não comparar D50(Average) de ODEON (banda larga) com D50 (%) oitava SPPS</x:v>
      </x:c>
    </x:row>
    <x:row r="18">
      <x:c r="A18" t="str">
        <x:v>SPL</x:v>
      </x:c>
      <x:c r="B18" t="str">
        <x:v>Calibração absoluta do Pyroom não estabelecida; comparações de energia centrada dentro do motor</x:v>
      </x:c>
    </x:row>
    <x:row r="19">
      <x:c r="A19" t="str">
        <x:v>Pyroom</x:v>
      </x:c>
      <x:c r="B19" t="str">
        <x:v>Resultados anteriores de simulação CF2 com 50.000 raios (não vieram nos ZIPs atuais)</x:v>
      </x:c>
    </x:row>
    <x:row r="20">
      <x:c r="A20" t="str">
        <x:v>I-Simpa 0°</x:v>
      </x:c>
      <x:c r="B20" t="str">
        <x:v>2026-10-16_19h42m00s.zip</x:v>
      </x:c>
    </x:row>
    <x:row r="21">
      <x:c r="A21" t="str">
        <x:v>I-Simpa −8°</x:v>
      </x:c>
      <x:c r="B21" t="str">
        <x:v>2026-10-16_20h01m09s.zip</x:v>
      </x:c>
    </x:row>
    <x:row r="22">
      <x:c r="A22" t="str">
        <x:v>I-Simpa −16°</x:v>
      </x:c>
      <x:c r="B22" t="str">
        <x:v>2026-10-16_20h09m36s.zip</x:v>
      </x:c>
    </x:row>
    <x:row r="23">
      <x:c r="A23" t="str">
        <x:v>ODEON 0°</x:v>
      </x:c>
      <x:c r="B23" t="str">
        <x:v>Texto colado(20261016-222531).txt</x:v>
      </x:c>
    </x:row>
    <x:row r="24">
      <x:c r="A24" t="str">
        <x:v>ODEON −8°</x:v>
      </x:c>
      <x:c r="B24" t="str">
        <x:v>Texto colado (2)(20261016-222852).txt</x:v>
      </x:c>
    </x:row>
    <x:row r="25">
      <x:c r="A25" t="str">
        <x:v>ODEON −16°</x:v>
      </x:c>
      <x:c r="B25" t="str">
        <x:v>Texto colado (3)(2).txt</x:v>
      </x:c>
    </x:row>
    <x:row r="26">
      <x:c r="A26" t="str">
        <x:v>Interpretar com cautela</x:v>
      </x:c>
      <x:c r="B26" t="str">
        <x:v>Correlação e ranking de C80 não validam independentemente o arquivo EASE nem as convenções angulares</x:v>
      </x:c>
    </x:row>
  </x:sheetData>
  <x:pageMargins left="0.7" right="0.7" top="0.75" bottom="0.75" header="0.3" footer="0.3"/>
</x:worksheet>
</file>